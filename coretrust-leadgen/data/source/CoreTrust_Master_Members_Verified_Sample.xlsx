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MEMBERS" sheetId="1" r:id="rId1"/>
    <sheet name="TOUCHPOINTS" sheetId="2" r:id="rId2"/>
    <sheet name="CADENCE" sheetId="3" r:id="rId3"/>
    <sheet name="READ ME" sheetId="4" r:id="rId4"/>
  </sheets>
  <definedNames>
    <definedName name="_xlnm._FilterDatabase" localSheetId="0" hidden="1">'MASTER MEMBERS'!$A$1:$AS$16</definedName>
    <definedName name="_xlnm._FilterDatabase" localSheetId="1" hidden="1">TOUCHPOINTS!$A$1:$AA$11</definedName>
  </definedNames>
  <calcPr calcId="124519" fullCalcOnLoad="1"/>
</workbook>
</file>

<file path=xl/sharedStrings.xml><?xml version="1.0" encoding="utf-8"?>
<sst xmlns="http://schemas.openxmlformats.org/spreadsheetml/2006/main" count="565" uniqueCount="243">
  <si>
    <t>Lead_ID</t>
  </si>
  <si>
    <t>Record_Status</t>
  </si>
  <si>
    <t>Freight_Relevant</t>
  </si>
  <si>
    <t>Data_Source</t>
  </si>
  <si>
    <t>Assigned_Rep</t>
  </si>
  <si>
    <t>Last_Updated</t>
  </si>
  <si>
    <t>Updated_By</t>
  </si>
  <si>
    <t>Company_Name</t>
  </si>
  <si>
    <t>Website</t>
  </si>
  <si>
    <t>Industry</t>
  </si>
  <si>
    <t>Sub_Industry</t>
  </si>
  <si>
    <t>HQ_State</t>
  </si>
  <si>
    <t>Employees</t>
  </si>
  <si>
    <t>Annual_Revenue</t>
  </si>
  <si>
    <t>PE_Sponsor</t>
  </si>
  <si>
    <t>Portfolio_Company</t>
  </si>
  <si>
    <t>CT_TTM_Spend</t>
  </si>
  <si>
    <t>Contact_First</t>
  </si>
  <si>
    <t>Contact_Last</t>
  </si>
  <si>
    <t>Contact_Title</t>
  </si>
  <si>
    <t>Contact_Email</t>
  </si>
  <si>
    <t>Contact_Phone</t>
  </si>
  <si>
    <t>Est_Freight_Spend</t>
  </si>
  <si>
    <t>Confirmed_Freight_Spend</t>
  </si>
  <si>
    <t>TMS_In_Use</t>
  </si>
  <si>
    <t>Tech_State</t>
  </si>
  <si>
    <t>Under_Contract</t>
  </si>
  <si>
    <t>Contract_Status</t>
  </si>
  <si>
    <t>Capacity_Source</t>
  </si>
  <si>
    <t>Private_Fleet</t>
  </si>
  <si>
    <t>Lane_Data_Available</t>
  </si>
  <si>
    <t>Freight_Opportunity</t>
  </si>
  <si>
    <t>Engrainment</t>
  </si>
  <si>
    <t>Freight_Intensity</t>
  </si>
  <si>
    <t>Actionability</t>
  </si>
  <si>
    <t>Warmth</t>
  </si>
  <si>
    <t>Fit_v3_Score</t>
  </si>
  <si>
    <t>Fit_Tier</t>
  </si>
  <si>
    <t>Spend_Bucket</t>
  </si>
  <si>
    <t>Priority</t>
  </si>
  <si>
    <t>Suggested_Supplier</t>
  </si>
  <si>
    <t>Service_Fit</t>
  </si>
  <si>
    <t>Quality_Strategic</t>
  </si>
  <si>
    <t>Qualified</t>
  </si>
  <si>
    <t>Notes</t>
  </si>
  <si>
    <t>CT-00001</t>
  </si>
  <si>
    <t>Ready to Call</t>
  </si>
  <si>
    <t>Yes</t>
  </si>
  <si>
    <t>Freight Analysis + SFDC</t>
  </si>
  <si>
    <t>American Tire Distributors</t>
  </si>
  <si>
    <t>atd.com</t>
  </si>
  <si>
    <t>Distribution</t>
  </si>
  <si>
    <t>Auto Parts</t>
  </si>
  <si>
    <t>NC</t>
  </si>
  <si>
    <t>TPG</t>
  </si>
  <si>
    <t>Alex</t>
  </si>
  <si>
    <t>Keyer</t>
  </si>
  <si>
    <t>SVP Supply Chain &amp; Ops</t>
  </si>
  <si>
    <t>akeyer@atd.com</t>
  </si>
  <si>
    <t>+1 704-632-7110</t>
  </si>
  <si>
    <t>A</t>
  </si>
  <si>
    <t>$10M+</t>
  </si>
  <si>
    <t>HOT</t>
  </si>
  <si>
    <t>GEODIS</t>
  </si>
  <si>
    <t>LTL, FTL, Brokerage</t>
  </si>
  <si>
    <t>CT-00002</t>
  </si>
  <si>
    <t>Solenis LLC</t>
  </si>
  <si>
    <t>solenis.com</t>
  </si>
  <si>
    <t>Manufacturing</t>
  </si>
  <si>
    <t>Chemicals</t>
  </si>
  <si>
    <t>DE</t>
  </si>
  <si>
    <t>Platinum Equity</t>
  </si>
  <si>
    <t>Sheila</t>
  </si>
  <si>
    <t>Tiegs</t>
  </si>
  <si>
    <t>VP Supply Chain Americas</t>
  </si>
  <si>
    <t>stiegs@solenis.com</t>
  </si>
  <si>
    <t>CT-00003</t>
  </si>
  <si>
    <t>BlueTriton Brands</t>
  </si>
  <si>
    <t>bluetriton.com</t>
  </si>
  <si>
    <t>Consumer Products</t>
  </si>
  <si>
    <t>Beverage</t>
  </si>
  <si>
    <t>CT</t>
  </si>
  <si>
    <t>One Rock Capital</t>
  </si>
  <si>
    <t>Robert</t>
  </si>
  <si>
    <t>Austin</t>
  </si>
  <si>
    <t>VP Logistics</t>
  </si>
  <si>
    <t>raustin@bluetriton.com</t>
  </si>
  <si>
    <t>LTL, Retail Cross Dock, Brokerage</t>
  </si>
  <si>
    <t>CT-00004</t>
  </si>
  <si>
    <t>US Foods</t>
  </si>
  <si>
    <t>usfoods.com</t>
  </si>
  <si>
    <t>Food Distribution</t>
  </si>
  <si>
    <t>IL</t>
  </si>
  <si>
    <t>Independent</t>
  </si>
  <si>
    <t>No</t>
  </si>
  <si>
    <t>Andrew</t>
  </si>
  <si>
    <t>Iaconis</t>
  </si>
  <si>
    <t>VP Supply Chain</t>
  </si>
  <si>
    <t>aiaconis@usfoods.com</t>
  </si>
  <si>
    <t>+1 847-720-8000</t>
  </si>
  <si>
    <t>LTL, FTL, Retail Cross Dock, Brokerage</t>
  </si>
  <si>
    <t>CT-00005</t>
  </si>
  <si>
    <t>Genuine Parts Company</t>
  </si>
  <si>
    <t>genpt.com</t>
  </si>
  <si>
    <t>GA</t>
  </si>
  <si>
    <t>Naveen</t>
  </si>
  <si>
    <t>Krishna</t>
  </si>
  <si>
    <t>nkrishna@genpt.com</t>
  </si>
  <si>
    <t>+1 678-934-5000</t>
  </si>
  <si>
    <t>CT-00006</t>
  </si>
  <si>
    <t>Ecolab Inc.</t>
  </si>
  <si>
    <t>ecolab.com</t>
  </si>
  <si>
    <t>MN</t>
  </si>
  <si>
    <t>Michael</t>
  </si>
  <si>
    <t>Hickey</t>
  </si>
  <si>
    <t>SVP Supply Chain</t>
  </si>
  <si>
    <t>mhickey@ecolab.com</t>
  </si>
  <si>
    <t>+1 651-293-2233</t>
  </si>
  <si>
    <t>CT-00007</t>
  </si>
  <si>
    <t>Stryker Corporation</t>
  </si>
  <si>
    <t>stryker.com</t>
  </si>
  <si>
    <t>Medical Devices</t>
  </si>
  <si>
    <t>MI</t>
  </si>
  <si>
    <t>Jason</t>
  </si>
  <si>
    <t>Beach</t>
  </si>
  <si>
    <t>VP Global Logistics</t>
  </si>
  <si>
    <t>jbeach@stryker.com</t>
  </si>
  <si>
    <t>+1 269-385-2600</t>
  </si>
  <si>
    <t>CT-00008</t>
  </si>
  <si>
    <t>Berry Global</t>
  </si>
  <si>
    <t>berryglobal.com</t>
  </si>
  <si>
    <t>Packaging</t>
  </si>
  <si>
    <t>IN</t>
  </si>
  <si>
    <t>Greene</t>
  </si>
  <si>
    <t>Dir Distribution</t>
  </si>
  <si>
    <t>jgreene@berryglobal.com</t>
  </si>
  <si>
    <t>CT-00009</t>
  </si>
  <si>
    <t>Parker-Hannifin</t>
  </si>
  <si>
    <t>parker.com</t>
  </si>
  <si>
    <t>Machinery</t>
  </si>
  <si>
    <t>OH</t>
  </si>
  <si>
    <t>Roger</t>
  </si>
  <si>
    <t>Sherrard</t>
  </si>
  <si>
    <t>Dir Transportation</t>
  </si>
  <si>
    <t>rsherrard@parker.com</t>
  </si>
  <si>
    <t>+1 216-896-3000</t>
  </si>
  <si>
    <t>CT-00010</t>
  </si>
  <si>
    <t>Kubota North America</t>
  </si>
  <si>
    <t>kubotausa.com</t>
  </si>
  <si>
    <t>TX</t>
  </si>
  <si>
    <t>Jenny</t>
  </si>
  <si>
    <t>Diaz</t>
  </si>
  <si>
    <t>Logistics Manager</t>
  </si>
  <si>
    <t>jdiaz@kubota.com</t>
  </si>
  <si>
    <t>B</t>
  </si>
  <si>
    <t>LTL, FTL</t>
  </si>
  <si>
    <t>CT-00011</t>
  </si>
  <si>
    <t>LK Packaging</t>
  </si>
  <si>
    <t>lkpackaging.com</t>
  </si>
  <si>
    <t>Wholesale</t>
  </si>
  <si>
    <t>Kohlberg &amp; Company</t>
  </si>
  <si>
    <t>Marcus</t>
  </si>
  <si>
    <t>Lowe</t>
  </si>
  <si>
    <t>Ops Manager</t>
  </si>
  <si>
    <t>mlowe@lkpackaging.com</t>
  </si>
  <si>
    <t>$2-5M</t>
  </si>
  <si>
    <t>Redwood / GEODIS</t>
  </si>
  <si>
    <t>CT-00012</t>
  </si>
  <si>
    <t>Enriching</t>
  </si>
  <si>
    <t>SFDC</t>
  </si>
  <si>
    <t>Shearer's Foods</t>
  </si>
  <si>
    <t>shearers.com</t>
  </si>
  <si>
    <t>Food</t>
  </si>
  <si>
    <t>Ontario Teachers</t>
  </si>
  <si>
    <t>WARM</t>
  </si>
  <si>
    <t>LTL, FTL, Retail Cross Dock</t>
  </si>
  <si>
    <t>CT-00013</t>
  </si>
  <si>
    <t>Champion Home Builders</t>
  </si>
  <si>
    <t>championhomes.com</t>
  </si>
  <si>
    <t>Building Materials</t>
  </si>
  <si>
    <t>C</t>
  </si>
  <si>
    <t>COLD</t>
  </si>
  <si>
    <t>CT-00014</t>
  </si>
  <si>
    <t>Nekoosa Coated Products</t>
  </si>
  <si>
    <t>nekoosa.com</t>
  </si>
  <si>
    <t>Paper</t>
  </si>
  <si>
    <t>WI</t>
  </si>
  <si>
    <t>Sole Source Capital</t>
  </si>
  <si>
    <t>$5-10M</t>
  </si>
  <si>
    <t>CT-00015</t>
  </si>
  <si>
    <t>Diversified Healthcare</t>
  </si>
  <si>
    <t>dhc.com</t>
  </si>
  <si>
    <t>Healthcare</t>
  </si>
  <si>
    <t>Medical Supplies</t>
  </si>
  <si>
    <t>MA</t>
  </si>
  <si>
    <t>D</t>
  </si>
  <si>
    <t>LTL</t>
  </si>
  <si>
    <t>Cadence_Step</t>
  </si>
  <si>
    <t>Total_Touches</t>
  </si>
  <si>
    <t>Emails_Sent</t>
  </si>
  <si>
    <t>Calls_Made</t>
  </si>
  <si>
    <t>LinkedIn_Touches</t>
  </si>
  <si>
    <t>Last_Touch_Date</t>
  </si>
  <si>
    <t>Last_Touch_Channel</t>
  </si>
  <si>
    <t>Days_Since_Last</t>
  </si>
  <si>
    <t>Next_Touch_Due</t>
  </si>
  <si>
    <t>Follow_Up_Flag</t>
  </si>
  <si>
    <t>SLA_Status</t>
  </si>
  <si>
    <t>Reply_Received</t>
  </si>
  <si>
    <t>Meeting_Booked</t>
  </si>
  <si>
    <t>Outcome</t>
  </si>
  <si>
    <t>Cadence_Status</t>
  </si>
  <si>
    <t>(rep)</t>
  </si>
  <si>
    <t>Email</t>
  </si>
  <si>
    <t>contacted</t>
  </si>
  <si>
    <t>Active</t>
  </si>
  <si>
    <t>Call</t>
  </si>
  <si>
    <t>LinkedIn</t>
  </si>
  <si>
    <t>Step</t>
  </si>
  <si>
    <t>Days_To_Next</t>
  </si>
  <si>
    <t>Channel</t>
  </si>
  <si>
    <t>Email intro</t>
  </si>
  <si>
    <t>Call + voicemail</t>
  </si>
  <si>
    <t>Email re: savings</t>
  </si>
  <si>
    <t>Email case study</t>
  </si>
  <si>
    <t>Breakup email</t>
  </si>
  <si>
    <t>CoreTrust Master Members with Fit v3 scoring</t>
  </si>
  <si>
    <t>Every CoreTrust member on one row, scored by Fit v3 so the rep can tell at a glance whether an account is worth qualifying. This build is seeded with representative real accounts. Re-drop the two source files and run fitv3_engine.py to score all 25,461 members into this same structure.</t>
  </si>
  <si>
    <t>The Fit v3 score</t>
  </si>
  <si>
    <t>•  Fit v3 = 30% freight opportunity + 30% CoreTrust engrainment + 15% freight intensity + 15% contact actionability + 10% relationship warmth.</t>
  </si>
  <si>
    <t>•  Freight opportunity and engrainment carry the most weight, a member with a real freight budget that already buys through CoreTrust is the easiest logistics cross sell.</t>
  </si>
  <si>
    <t>•  Actionability answers whether we can actually reach the account. Verified logistics-titled email 100, generic 75, hand-researched name 40, nothing 0.</t>
  </si>
  <si>
    <t>•  Tiers: A 70+, B 55+, C 40+, D below. A means a real freight budget and a proven CoreTrust buying habit.</t>
  </si>
  <si>
    <t>How the rep uses it</t>
  </si>
  <si>
    <t>•  Sort by Fit_v3_Score. Work tier A and B with a contact. C is nurture. D is not worth qualifying yet.</t>
  </si>
  <si>
    <t>•  Service_Fit tells you what to pitch. Green columns are computed, do not overwrite them.</t>
  </si>
  <si>
    <t>The Touchpoints tab</t>
  </si>
  <si>
    <t>•  Mirrors the master for accounts in active outreach. Tracks every email, call, and LinkedIn touch.</t>
  </si>
  <si>
    <t>•  Days_Since_Last, Next_Touch_Due, Follow_Up_Flag and SLA_Status are live formulas. FOLLOW UP means the next touch is due.</t>
  </si>
  <si>
    <t>•  When the rep asks the agent to write an email, the agent appends a row or updates the count here automatically.</t>
  </si>
  <si>
    <t>What runs the scoring</t>
  </si>
  <si>
    <t>•  fitv3_engine.py implements the method exactly. Run it on refresh or when new registrations arrive.</t>
  </si>
  <si>
    <t>•  Excluded: non-US members, K-12 districts, PE-firm and VC records, and transportation companies.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</si>
</sst>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$#,##0"/>
    <numFmt numFmtId="166" formatCode="0.0"/>
    <numFmt numFmtId="167" formatCode="yyyy-mm-dd"/>
  </numFmts>
  <fonts count="9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C0392B"/>
      <name val="Arial"/>
      <family val="2"/>
    </font>
    <font>
      <b/>
      <sz val="18"/>
      <color rgb="FF1F3A5F"/>
      <name val="Arial"/>
      <family val="2"/>
    </font>
    <font>
      <i/>
      <sz val="11"/>
      <color rgb="FF5A6675"/>
      <name val="Arial"/>
      <family val="2"/>
    </font>
    <font>
      <b/>
      <sz val="12"/>
      <color rgb="FF2E6DA4"/>
      <name val="Arial"/>
      <family val="2"/>
    </font>
    <font>
      <sz val="10.5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5A6675"/>
        <bgColor indexed="64"/>
      </patternFill>
    </fill>
    <fill>
      <patternFill patternType="solid">
        <fgColor rgb="FF2E6DA4"/>
        <bgColor indexed="64"/>
      </patternFill>
    </fill>
    <fill>
      <patternFill patternType="solid">
        <fgColor rgb="FF0E7C86"/>
        <bgColor indexed="64"/>
      </patternFill>
    </fill>
    <fill>
      <patternFill patternType="solid">
        <fgColor rgb="FF6A4CB5"/>
        <bgColor indexed="64"/>
      </patternFill>
    </fill>
    <fill>
      <patternFill patternType="solid">
        <fgColor rgb="FFC9922B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1F3A5F"/>
        <bgColor indexed="64"/>
      </patternFill>
    </fill>
    <fill>
      <patternFill patternType="solid">
        <fgColor rgb="FFE7F3E9"/>
        <bgColor indexed="64"/>
      </patternFill>
    </fill>
  </fills>
  <borders count="3">
    <border>
      <left/>
      <right/>
      <top/>
      <bottom/>
      <diagonal/>
    </border>
    <border>
      <left style="thin">
        <color rgb="FFBFC9D9"/>
      </left>
      <right style="thin">
        <color rgb="FFBFC9D9"/>
      </right>
      <top style="thin">
        <color rgb="FFBFC9D9"/>
      </top>
      <bottom style="thin">
        <color rgb="FFBFC9D9"/>
      </bottom>
      <diagonal/>
    </border>
    <border>
      <left style="thin">
        <color rgb="FFEAEFF5"/>
      </left>
      <right style="thin">
        <color rgb="FFEAEFF5"/>
      </right>
      <top style="thin">
        <color rgb="FFEAEFF5"/>
      </top>
      <bottom style="thin">
        <color rgb="FFEAEFF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164" fontId="2" fillId="0" borderId="2" xfId="0" applyNumberFormat="1" applyFont="1" applyBorder="1"/>
    <xf numFmtId="165" fontId="2" fillId="0" borderId="2" xfId="0" applyNumberFormat="1" applyFont="1" applyBorder="1"/>
    <xf numFmtId="0" fontId="2" fillId="9" borderId="2" xfId="0" applyFont="1" applyFill="1" applyBorder="1" applyAlignment="1">
      <alignment vertical="center"/>
    </xf>
    <xf numFmtId="166" fontId="3" fillId="9" borderId="2" xfId="0" applyNumberFormat="1" applyFont="1" applyFill="1" applyBorder="1"/>
    <xf numFmtId="0" fontId="2" fillId="9" borderId="2" xfId="0" applyFont="1" applyFill="1" applyBorder="1"/>
    <xf numFmtId="167" fontId="2" fillId="0" borderId="2" xfId="0" applyNumberFormat="1" applyFont="1" applyBorder="1"/>
    <xf numFmtId="0" fontId="4" fillId="0" borderId="2" xfId="0" applyFont="1" applyBorder="1"/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1.7109375" customWidth="1"/>
    <col min="2" max="2" width="14.7109375" customWidth="1"/>
    <col min="3" max="3" width="12.7109375" customWidth="1"/>
    <col min="4" max="4" width="20.7109375" customWidth="1"/>
    <col min="5" max="5" width="14.7109375" customWidth="1"/>
    <col min="6" max="6" width="16.7109375" customWidth="1"/>
    <col min="7" max="7" width="13.7109375" customWidth="1"/>
    <col min="8" max="8" width="30.7109375" customWidth="1"/>
    <col min="9" max="9" width="22.7109375" customWidth="1"/>
    <col min="10" max="10" width="16.7109375" customWidth="1"/>
    <col min="11" max="11" width="18.7109375" customWidth="1"/>
    <col min="12" max="13" width="10.7109375" customWidth="1"/>
    <col min="14" max="14" width="15.7109375" customWidth="1"/>
    <col min="15" max="15" width="20.7109375" customWidth="1"/>
    <col min="16" max="16" width="12.7109375" customWidth="1"/>
    <col min="17" max="17" width="14.7109375" customWidth="1"/>
    <col min="18" max="18" width="12.7109375" customWidth="1"/>
    <col min="19" max="19" width="13.7109375" customWidth="1"/>
    <col min="20" max="20" width="22.7109375" customWidth="1"/>
    <col min="21" max="21" width="24.7109375" customWidth="1"/>
    <col min="22" max="22" width="16.7109375" customWidth="1"/>
    <col min="23" max="23" width="15.7109375" customWidth="1"/>
    <col min="24" max="24" width="16.7109375" customWidth="1"/>
    <col min="25" max="25" width="10.7109375" customWidth="1"/>
    <col min="26" max="26" width="15.7109375" customWidth="1"/>
    <col min="27" max="27" width="11.7109375" customWidth="1"/>
    <col min="28" max="28" width="14.7109375" customWidth="1"/>
    <col min="29" max="29" width="15.7109375" customWidth="1"/>
    <col min="30" max="30" width="11.7109375" customWidth="1"/>
    <col min="31" max="32" width="13.7109375" customWidth="1"/>
    <col min="33" max="33" width="12.7109375" customWidth="1"/>
    <col min="34" max="34" width="13.7109375" customWidth="1"/>
    <col min="35" max="35" width="12.7109375" customWidth="1"/>
    <col min="36" max="36" width="10.7109375" customWidth="1"/>
    <col min="37" max="37" width="12.7109375" customWidth="1"/>
    <col min="38" max="38" width="9.7109375" customWidth="1"/>
    <col min="39" max="39" width="12.7109375" customWidth="1"/>
    <col min="40" max="40" width="9.7109375" customWidth="1"/>
    <col min="41" max="41" width="20.7109375" customWidth="1"/>
    <col min="42" max="42" width="26.7109375" customWidth="1"/>
    <col min="43" max="43" width="12.7109375" customWidth="1"/>
    <col min="44" max="44" width="10.7109375" customWidth="1"/>
    <col min="45" max="45" width="26.7109375" customWidth="1"/>
  </cols>
  <sheetData>
    <row r="1" spans="1:45" ht="4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7" t="s">
        <v>43</v>
      </c>
      <c r="AS1" s="7" t="s">
        <v>44</v>
      </c>
    </row>
    <row r="2" spans="1:45">
      <c r="A2" s="8" t="s">
        <v>45</v>
      </c>
      <c r="B2" s="8" t="s">
        <v>46</v>
      </c>
      <c r="C2" s="8" t="s">
        <v>47</v>
      </c>
      <c r="D2" s="8" t="s">
        <v>48</v>
      </c>
      <c r="E2" s="8"/>
      <c r="F2" s="8"/>
      <c r="G2" s="8"/>
      <c r="H2" s="8" t="s">
        <v>49</v>
      </c>
      <c r="I2" s="8" t="s">
        <v>50</v>
      </c>
      <c r="J2" s="8" t="s">
        <v>51</v>
      </c>
      <c r="K2" s="8" t="s">
        <v>52</v>
      </c>
      <c r="L2" s="8" t="s">
        <v>53</v>
      </c>
      <c r="M2" s="9">
        <v>5000</v>
      </c>
      <c r="N2" s="10">
        <v>5300000000</v>
      </c>
      <c r="O2" s="8" t="s">
        <v>54</v>
      </c>
      <c r="P2" s="8" t="s">
        <v>47</v>
      </c>
      <c r="Q2" s="10">
        <v>11464766</v>
      </c>
      <c r="R2" s="8" t="s">
        <v>55</v>
      </c>
      <c r="S2" s="8" t="s">
        <v>56</v>
      </c>
      <c r="T2" s="8" t="s">
        <v>57</v>
      </c>
      <c r="U2" s="8" t="s">
        <v>58</v>
      </c>
      <c r="V2" s="8" t="s">
        <v>59</v>
      </c>
      <c r="W2" s="10">
        <v>291500000</v>
      </c>
      <c r="X2" s="8"/>
      <c r="Y2" s="8"/>
      <c r="Z2" s="8"/>
      <c r="AA2" s="8"/>
      <c r="AB2" s="8"/>
      <c r="AC2" s="8"/>
      <c r="AD2" s="8"/>
      <c r="AE2" s="8"/>
      <c r="AF2" s="11">
        <v>89.3</v>
      </c>
      <c r="AG2" s="11">
        <v>99.3</v>
      </c>
      <c r="AH2" s="11">
        <v>90</v>
      </c>
      <c r="AI2" s="11">
        <v>100</v>
      </c>
      <c r="AJ2" s="11">
        <v>100</v>
      </c>
      <c r="AK2" s="12">
        <v>95.09999999999999</v>
      </c>
      <c r="AL2" s="11" t="s">
        <v>60</v>
      </c>
      <c r="AM2" s="11" t="s">
        <v>61</v>
      </c>
      <c r="AN2" s="11" t="s">
        <v>62</v>
      </c>
      <c r="AO2" s="11" t="s">
        <v>63</v>
      </c>
      <c r="AP2" s="11" t="s">
        <v>64</v>
      </c>
      <c r="AQ2" s="11" t="s">
        <v>47</v>
      </c>
      <c r="AR2" s="8"/>
      <c r="AS2" s="8"/>
    </row>
    <row r="3" spans="1:45">
      <c r="A3" s="8" t="s">
        <v>65</v>
      </c>
      <c r="B3" s="8" t="s">
        <v>46</v>
      </c>
      <c r="C3" s="8" t="s">
        <v>47</v>
      </c>
      <c r="D3" s="8" t="s">
        <v>48</v>
      </c>
      <c r="E3" s="8"/>
      <c r="F3" s="8"/>
      <c r="G3" s="8"/>
      <c r="H3" s="8" t="s">
        <v>66</v>
      </c>
      <c r="I3" s="8" t="s">
        <v>67</v>
      </c>
      <c r="J3" s="8" t="s">
        <v>68</v>
      </c>
      <c r="K3" s="8" t="s">
        <v>69</v>
      </c>
      <c r="L3" s="8" t="s">
        <v>70</v>
      </c>
      <c r="M3" s="9">
        <v>15400</v>
      </c>
      <c r="N3" s="10">
        <v>3468524000</v>
      </c>
      <c r="O3" s="8" t="s">
        <v>71</v>
      </c>
      <c r="P3" s="8" t="s">
        <v>47</v>
      </c>
      <c r="Q3" s="10">
        <v>3101083</v>
      </c>
      <c r="R3" s="8" t="s">
        <v>72</v>
      </c>
      <c r="S3" s="8" t="s">
        <v>73</v>
      </c>
      <c r="T3" s="8" t="s">
        <v>74</v>
      </c>
      <c r="U3" s="8" t="s">
        <v>75</v>
      </c>
      <c r="V3" s="8"/>
      <c r="W3" s="10">
        <v>208111440</v>
      </c>
      <c r="X3" s="8"/>
      <c r="Y3" s="8"/>
      <c r="Z3" s="8"/>
      <c r="AA3" s="8"/>
      <c r="AB3" s="8"/>
      <c r="AC3" s="8"/>
      <c r="AD3" s="8"/>
      <c r="AE3" s="8"/>
      <c r="AF3" s="11">
        <v>86.40000000000001</v>
      </c>
      <c r="AG3" s="11">
        <v>93.7</v>
      </c>
      <c r="AH3" s="11">
        <v>92</v>
      </c>
      <c r="AI3" s="11">
        <v>100</v>
      </c>
      <c r="AJ3" s="11">
        <v>100</v>
      </c>
      <c r="AK3" s="12">
        <v>92.8</v>
      </c>
      <c r="AL3" s="11" t="s">
        <v>60</v>
      </c>
      <c r="AM3" s="11" t="s">
        <v>61</v>
      </c>
      <c r="AN3" s="11" t="s">
        <v>62</v>
      </c>
      <c r="AO3" s="11" t="s">
        <v>63</v>
      </c>
      <c r="AP3" s="11" t="s">
        <v>64</v>
      </c>
      <c r="AQ3" s="11" t="s">
        <v>47</v>
      </c>
      <c r="AR3" s="8"/>
      <c r="AS3" s="8"/>
    </row>
    <row r="4" spans="1:45">
      <c r="A4" s="8" t="s">
        <v>76</v>
      </c>
      <c r="B4" s="8" t="s">
        <v>46</v>
      </c>
      <c r="C4" s="8" t="s">
        <v>47</v>
      </c>
      <c r="D4" s="8" t="s">
        <v>48</v>
      </c>
      <c r="E4" s="8"/>
      <c r="F4" s="8"/>
      <c r="G4" s="8"/>
      <c r="H4" s="8" t="s">
        <v>77</v>
      </c>
      <c r="I4" s="8" t="s">
        <v>78</v>
      </c>
      <c r="J4" s="8" t="s">
        <v>79</v>
      </c>
      <c r="K4" s="8" t="s">
        <v>80</v>
      </c>
      <c r="L4" s="8" t="s">
        <v>81</v>
      </c>
      <c r="M4" s="9">
        <v>7000</v>
      </c>
      <c r="N4" s="10">
        <v>4500000000</v>
      </c>
      <c r="O4" s="8" t="s">
        <v>82</v>
      </c>
      <c r="P4" s="8" t="s">
        <v>47</v>
      </c>
      <c r="Q4" s="10">
        <v>620000</v>
      </c>
      <c r="R4" s="8" t="s">
        <v>83</v>
      </c>
      <c r="S4" s="8" t="s">
        <v>84</v>
      </c>
      <c r="T4" s="8" t="s">
        <v>85</v>
      </c>
      <c r="U4" s="8" t="s">
        <v>86</v>
      </c>
      <c r="V4" s="8"/>
      <c r="W4" s="10">
        <v>247500000</v>
      </c>
      <c r="X4" s="8"/>
      <c r="Y4" s="8"/>
      <c r="Z4" s="8"/>
      <c r="AA4" s="8"/>
      <c r="AB4" s="8"/>
      <c r="AC4" s="8"/>
      <c r="AD4" s="8"/>
      <c r="AE4" s="8"/>
      <c r="AF4" s="11">
        <v>87.90000000000001</v>
      </c>
      <c r="AG4" s="11">
        <v>84.7</v>
      </c>
      <c r="AH4" s="11">
        <v>95</v>
      </c>
      <c r="AI4" s="11">
        <v>100</v>
      </c>
      <c r="AJ4" s="11">
        <v>100</v>
      </c>
      <c r="AK4" s="12">
        <v>91</v>
      </c>
      <c r="AL4" s="11" t="s">
        <v>60</v>
      </c>
      <c r="AM4" s="11" t="s">
        <v>61</v>
      </c>
      <c r="AN4" s="11" t="s">
        <v>62</v>
      </c>
      <c r="AO4" s="11" t="s">
        <v>63</v>
      </c>
      <c r="AP4" s="11" t="s">
        <v>87</v>
      </c>
      <c r="AQ4" s="11" t="s">
        <v>47</v>
      </c>
      <c r="AR4" s="8"/>
      <c r="AS4" s="8"/>
    </row>
    <row r="5" spans="1:45">
      <c r="A5" s="8" t="s">
        <v>88</v>
      </c>
      <c r="B5" s="8" t="s">
        <v>46</v>
      </c>
      <c r="C5" s="8" t="s">
        <v>47</v>
      </c>
      <c r="D5" s="8" t="s">
        <v>48</v>
      </c>
      <c r="E5" s="8"/>
      <c r="F5" s="8"/>
      <c r="G5" s="8"/>
      <c r="H5" s="8" t="s">
        <v>89</v>
      </c>
      <c r="I5" s="8" t="s">
        <v>90</v>
      </c>
      <c r="J5" s="8" t="s">
        <v>51</v>
      </c>
      <c r="K5" s="8" t="s">
        <v>91</v>
      </c>
      <c r="L5" s="8" t="s">
        <v>92</v>
      </c>
      <c r="M5" s="9">
        <v>70000</v>
      </c>
      <c r="N5" s="10">
        <v>37000000000</v>
      </c>
      <c r="O5" s="8" t="s">
        <v>93</v>
      </c>
      <c r="P5" s="8" t="s">
        <v>94</v>
      </c>
      <c r="Q5" s="10">
        <v>480000</v>
      </c>
      <c r="R5" s="8" t="s">
        <v>95</v>
      </c>
      <c r="S5" s="8" t="s">
        <v>96</v>
      </c>
      <c r="T5" s="8" t="s">
        <v>97</v>
      </c>
      <c r="U5" s="8" t="s">
        <v>98</v>
      </c>
      <c r="V5" s="8" t="s">
        <v>99</v>
      </c>
      <c r="W5" s="10">
        <v>2956800000</v>
      </c>
      <c r="X5" s="8"/>
      <c r="Y5" s="8"/>
      <c r="Z5" s="8"/>
      <c r="AA5" s="8"/>
      <c r="AB5" s="8"/>
      <c r="AC5" s="8"/>
      <c r="AD5" s="8"/>
      <c r="AE5" s="8"/>
      <c r="AF5" s="11">
        <v>100</v>
      </c>
      <c r="AG5" s="11">
        <v>83</v>
      </c>
      <c r="AH5" s="11">
        <v>100</v>
      </c>
      <c r="AI5" s="11">
        <v>100</v>
      </c>
      <c r="AJ5" s="11">
        <v>40</v>
      </c>
      <c r="AK5" s="12">
        <v>88.90000000000001</v>
      </c>
      <c r="AL5" s="11" t="s">
        <v>60</v>
      </c>
      <c r="AM5" s="11" t="s">
        <v>61</v>
      </c>
      <c r="AN5" s="11" t="s">
        <v>62</v>
      </c>
      <c r="AO5" s="11" t="s">
        <v>63</v>
      </c>
      <c r="AP5" s="11" t="s">
        <v>100</v>
      </c>
      <c r="AQ5" s="11" t="s">
        <v>47</v>
      </c>
      <c r="AR5" s="8"/>
      <c r="AS5" s="8"/>
    </row>
    <row r="6" spans="1:45">
      <c r="A6" s="8" t="s">
        <v>101</v>
      </c>
      <c r="B6" s="8" t="s">
        <v>46</v>
      </c>
      <c r="C6" s="8" t="s">
        <v>47</v>
      </c>
      <c r="D6" s="8" t="s">
        <v>48</v>
      </c>
      <c r="E6" s="8"/>
      <c r="F6" s="8"/>
      <c r="G6" s="8"/>
      <c r="H6" s="8" t="s">
        <v>102</v>
      </c>
      <c r="I6" s="8" t="s">
        <v>103</v>
      </c>
      <c r="J6" s="8" t="s">
        <v>51</v>
      </c>
      <c r="K6" s="8" t="s">
        <v>52</v>
      </c>
      <c r="L6" s="8" t="s">
        <v>104</v>
      </c>
      <c r="M6" s="9">
        <v>60000</v>
      </c>
      <c r="N6" s="10">
        <v>23000000000</v>
      </c>
      <c r="O6" s="8" t="s">
        <v>93</v>
      </c>
      <c r="P6" s="8" t="s">
        <v>94</v>
      </c>
      <c r="Q6" s="10">
        <v>305000</v>
      </c>
      <c r="R6" s="8" t="s">
        <v>105</v>
      </c>
      <c r="S6" s="8" t="s">
        <v>106</v>
      </c>
      <c r="T6" s="8" t="s">
        <v>97</v>
      </c>
      <c r="U6" s="8" t="s">
        <v>107</v>
      </c>
      <c r="V6" s="8" t="s">
        <v>108</v>
      </c>
      <c r="W6" s="10">
        <v>1093506345</v>
      </c>
      <c r="X6" s="8"/>
      <c r="Y6" s="8"/>
      <c r="Z6" s="8"/>
      <c r="AA6" s="8"/>
      <c r="AB6" s="8"/>
      <c r="AC6" s="8"/>
      <c r="AD6" s="8"/>
      <c r="AE6" s="8"/>
      <c r="AF6" s="11">
        <v>100</v>
      </c>
      <c r="AG6" s="11">
        <v>76.7</v>
      </c>
      <c r="AH6" s="11">
        <v>90</v>
      </c>
      <c r="AI6" s="11">
        <v>100</v>
      </c>
      <c r="AJ6" s="11">
        <v>40</v>
      </c>
      <c r="AK6" s="12">
        <v>85.5</v>
      </c>
      <c r="AL6" s="11" t="s">
        <v>60</v>
      </c>
      <c r="AM6" s="11" t="s">
        <v>61</v>
      </c>
      <c r="AN6" s="11" t="s">
        <v>62</v>
      </c>
      <c r="AO6" s="11" t="s">
        <v>63</v>
      </c>
      <c r="AP6" s="11" t="s">
        <v>64</v>
      </c>
      <c r="AQ6" s="11" t="s">
        <v>47</v>
      </c>
      <c r="AR6" s="8"/>
      <c r="AS6" s="8"/>
    </row>
    <row r="7" spans="1:45">
      <c r="A7" s="8" t="s">
        <v>109</v>
      </c>
      <c r="B7" s="8" t="s">
        <v>46</v>
      </c>
      <c r="C7" s="8" t="s">
        <v>47</v>
      </c>
      <c r="D7" s="8" t="s">
        <v>48</v>
      </c>
      <c r="E7" s="8"/>
      <c r="F7" s="8"/>
      <c r="G7" s="8"/>
      <c r="H7" s="8" t="s">
        <v>110</v>
      </c>
      <c r="I7" s="8" t="s">
        <v>111</v>
      </c>
      <c r="J7" s="8" t="s">
        <v>68</v>
      </c>
      <c r="K7" s="8" t="s">
        <v>69</v>
      </c>
      <c r="L7" s="8" t="s">
        <v>112</v>
      </c>
      <c r="M7" s="9">
        <v>47000</v>
      </c>
      <c r="N7" s="10">
        <v>15000000000</v>
      </c>
      <c r="O7" s="8" t="s">
        <v>93</v>
      </c>
      <c r="P7" s="8" t="s">
        <v>94</v>
      </c>
      <c r="Q7" s="10">
        <v>188000</v>
      </c>
      <c r="R7" s="8" t="s">
        <v>113</v>
      </c>
      <c r="S7" s="8" t="s">
        <v>114</v>
      </c>
      <c r="T7" s="8" t="s">
        <v>115</v>
      </c>
      <c r="U7" s="8" t="s">
        <v>116</v>
      </c>
      <c r="V7" s="8" t="s">
        <v>117</v>
      </c>
      <c r="W7" s="10">
        <v>964872000</v>
      </c>
      <c r="X7" s="8"/>
      <c r="Y7" s="8"/>
      <c r="Z7" s="8"/>
      <c r="AA7" s="8"/>
      <c r="AB7" s="8"/>
      <c r="AC7" s="8"/>
      <c r="AD7" s="8"/>
      <c r="AE7" s="8"/>
      <c r="AF7" s="11">
        <v>99.7</v>
      </c>
      <c r="AG7" s="11">
        <v>65.3</v>
      </c>
      <c r="AH7" s="11">
        <v>92</v>
      </c>
      <c r="AI7" s="11">
        <v>100</v>
      </c>
      <c r="AJ7" s="11">
        <v>40</v>
      </c>
      <c r="AK7" s="12">
        <v>82.3</v>
      </c>
      <c r="AL7" s="11" t="s">
        <v>60</v>
      </c>
      <c r="AM7" s="11" t="s">
        <v>61</v>
      </c>
      <c r="AN7" s="11" t="s">
        <v>62</v>
      </c>
      <c r="AO7" s="11" t="s">
        <v>63</v>
      </c>
      <c r="AP7" s="11" t="s">
        <v>64</v>
      </c>
      <c r="AQ7" s="11" t="s">
        <v>47</v>
      </c>
      <c r="AR7" s="8"/>
      <c r="AS7" s="8"/>
    </row>
    <row r="8" spans="1:45">
      <c r="A8" s="8" t="s">
        <v>118</v>
      </c>
      <c r="B8" s="8" t="s">
        <v>46</v>
      </c>
      <c r="C8" s="8" t="s">
        <v>47</v>
      </c>
      <c r="D8" s="8" t="s">
        <v>48</v>
      </c>
      <c r="E8" s="8"/>
      <c r="F8" s="8"/>
      <c r="G8" s="8"/>
      <c r="H8" s="8" t="s">
        <v>119</v>
      </c>
      <c r="I8" s="8" t="s">
        <v>120</v>
      </c>
      <c r="J8" s="8" t="s">
        <v>68</v>
      </c>
      <c r="K8" s="8" t="s">
        <v>121</v>
      </c>
      <c r="L8" s="8" t="s">
        <v>122</v>
      </c>
      <c r="M8" s="9">
        <v>52000</v>
      </c>
      <c r="N8" s="10">
        <v>20500000000</v>
      </c>
      <c r="O8" s="8" t="s">
        <v>93</v>
      </c>
      <c r="P8" s="8" t="s">
        <v>94</v>
      </c>
      <c r="Q8" s="10">
        <v>210000</v>
      </c>
      <c r="R8" s="8" t="s">
        <v>123</v>
      </c>
      <c r="S8" s="8" t="s">
        <v>124</v>
      </c>
      <c r="T8" s="8" t="s">
        <v>125</v>
      </c>
      <c r="U8" s="8" t="s">
        <v>126</v>
      </c>
      <c r="V8" s="8" t="s">
        <v>127</v>
      </c>
      <c r="W8" s="10">
        <v>1381380000</v>
      </c>
      <c r="X8" s="8"/>
      <c r="Y8" s="8"/>
      <c r="Z8" s="8"/>
      <c r="AA8" s="8"/>
      <c r="AB8" s="8"/>
      <c r="AC8" s="8"/>
      <c r="AD8" s="8"/>
      <c r="AE8" s="8"/>
      <c r="AF8" s="11">
        <v>100</v>
      </c>
      <c r="AG8" s="11">
        <v>71</v>
      </c>
      <c r="AH8" s="11">
        <v>55</v>
      </c>
      <c r="AI8" s="11">
        <v>100</v>
      </c>
      <c r="AJ8" s="11">
        <v>40</v>
      </c>
      <c r="AK8" s="12">
        <v>78.5</v>
      </c>
      <c r="AL8" s="11" t="s">
        <v>60</v>
      </c>
      <c r="AM8" s="11" t="s">
        <v>61</v>
      </c>
      <c r="AN8" s="11" t="s">
        <v>62</v>
      </c>
      <c r="AO8" s="11" t="s">
        <v>63</v>
      </c>
      <c r="AP8" s="11" t="s">
        <v>64</v>
      </c>
      <c r="AQ8" s="11" t="s">
        <v>47</v>
      </c>
      <c r="AR8" s="8"/>
      <c r="AS8" s="8"/>
    </row>
    <row r="9" spans="1:45">
      <c r="A9" s="8" t="s">
        <v>128</v>
      </c>
      <c r="B9" s="8" t="s">
        <v>46</v>
      </c>
      <c r="C9" s="8" t="s">
        <v>47</v>
      </c>
      <c r="D9" s="8" t="s">
        <v>48</v>
      </c>
      <c r="E9" s="8"/>
      <c r="F9" s="8"/>
      <c r="G9" s="8"/>
      <c r="H9" s="8" t="s">
        <v>129</v>
      </c>
      <c r="I9" s="8" t="s">
        <v>130</v>
      </c>
      <c r="J9" s="8" t="s">
        <v>68</v>
      </c>
      <c r="K9" s="8" t="s">
        <v>131</v>
      </c>
      <c r="L9" s="8" t="s">
        <v>132</v>
      </c>
      <c r="M9" s="9">
        <v>40000</v>
      </c>
      <c r="N9" s="10">
        <v>13000000000</v>
      </c>
      <c r="O9" s="8" t="s">
        <v>93</v>
      </c>
      <c r="P9" s="8" t="s">
        <v>94</v>
      </c>
      <c r="Q9" s="10">
        <v>145000</v>
      </c>
      <c r="R9" s="8" t="s">
        <v>123</v>
      </c>
      <c r="S9" s="8" t="s">
        <v>133</v>
      </c>
      <c r="T9" s="8" t="s">
        <v>134</v>
      </c>
      <c r="U9" s="8" t="s">
        <v>135</v>
      </c>
      <c r="V9" s="8"/>
      <c r="W9" s="10">
        <v>780000000</v>
      </c>
      <c r="X9" s="8"/>
      <c r="Y9" s="8"/>
      <c r="Z9" s="8"/>
      <c r="AA9" s="8"/>
      <c r="AB9" s="8"/>
      <c r="AC9" s="8"/>
      <c r="AD9" s="8"/>
      <c r="AE9" s="8"/>
      <c r="AF9" s="11">
        <v>97.8</v>
      </c>
      <c r="AG9" s="11">
        <v>56.3</v>
      </c>
      <c r="AH9" s="11">
        <v>88</v>
      </c>
      <c r="AI9" s="11">
        <v>100</v>
      </c>
      <c r="AJ9" s="11">
        <v>40</v>
      </c>
      <c r="AK9" s="12">
        <v>78.5</v>
      </c>
      <c r="AL9" s="11" t="s">
        <v>60</v>
      </c>
      <c r="AM9" s="11" t="s">
        <v>61</v>
      </c>
      <c r="AN9" s="11" t="s">
        <v>62</v>
      </c>
      <c r="AO9" s="11" t="s">
        <v>63</v>
      </c>
      <c r="AP9" s="11" t="s">
        <v>64</v>
      </c>
      <c r="AQ9" s="11" t="s">
        <v>47</v>
      </c>
      <c r="AR9" s="8"/>
      <c r="AS9" s="8"/>
    </row>
    <row r="10" spans="1:45">
      <c r="A10" s="8" t="s">
        <v>136</v>
      </c>
      <c r="B10" s="8" t="s">
        <v>46</v>
      </c>
      <c r="C10" s="8" t="s">
        <v>47</v>
      </c>
      <c r="D10" s="8" t="s">
        <v>48</v>
      </c>
      <c r="E10" s="8"/>
      <c r="F10" s="8"/>
      <c r="G10" s="8"/>
      <c r="H10" s="8" t="s">
        <v>137</v>
      </c>
      <c r="I10" s="8" t="s">
        <v>138</v>
      </c>
      <c r="J10" s="8" t="s">
        <v>68</v>
      </c>
      <c r="K10" s="8" t="s">
        <v>139</v>
      </c>
      <c r="L10" s="8" t="s">
        <v>140</v>
      </c>
      <c r="M10" s="9">
        <v>58000</v>
      </c>
      <c r="N10" s="10">
        <v>19900000000</v>
      </c>
      <c r="O10" s="8" t="s">
        <v>93</v>
      </c>
      <c r="P10" s="8" t="s">
        <v>94</v>
      </c>
      <c r="Q10" s="10">
        <v>95000</v>
      </c>
      <c r="R10" s="8" t="s">
        <v>141</v>
      </c>
      <c r="S10" s="8" t="s">
        <v>142</v>
      </c>
      <c r="T10" s="8" t="s">
        <v>143</v>
      </c>
      <c r="U10" s="8" t="s">
        <v>144</v>
      </c>
      <c r="V10" s="8" t="s">
        <v>145</v>
      </c>
      <c r="W10" s="10">
        <v>1191000000</v>
      </c>
      <c r="X10" s="8"/>
      <c r="Y10" s="8"/>
      <c r="Z10" s="8"/>
      <c r="AA10" s="8"/>
      <c r="AB10" s="8"/>
      <c r="AC10" s="8"/>
      <c r="AD10" s="8"/>
      <c r="AE10" s="8"/>
      <c r="AF10" s="11">
        <v>100</v>
      </c>
      <c r="AG10" s="11">
        <v>50.7</v>
      </c>
      <c r="AH10" s="11">
        <v>88</v>
      </c>
      <c r="AI10" s="11">
        <v>100</v>
      </c>
      <c r="AJ10" s="11">
        <v>40</v>
      </c>
      <c r="AK10" s="12">
        <v>77.40000000000001</v>
      </c>
      <c r="AL10" s="11" t="s">
        <v>60</v>
      </c>
      <c r="AM10" s="11" t="s">
        <v>61</v>
      </c>
      <c r="AN10" s="11" t="s">
        <v>62</v>
      </c>
      <c r="AO10" s="11" t="s">
        <v>63</v>
      </c>
      <c r="AP10" s="11" t="s">
        <v>64</v>
      </c>
      <c r="AQ10" s="11" t="s">
        <v>47</v>
      </c>
      <c r="AR10" s="8"/>
      <c r="AS10" s="8"/>
    </row>
    <row r="11" spans="1:45">
      <c r="A11" s="8" t="s">
        <v>146</v>
      </c>
      <c r="B11" s="8" t="s">
        <v>46</v>
      </c>
      <c r="C11" s="8" t="s">
        <v>47</v>
      </c>
      <c r="D11" s="8" t="s">
        <v>48</v>
      </c>
      <c r="E11" s="8"/>
      <c r="F11" s="8"/>
      <c r="G11" s="8"/>
      <c r="H11" s="8" t="s">
        <v>147</v>
      </c>
      <c r="I11" s="8" t="s">
        <v>148</v>
      </c>
      <c r="J11" s="8" t="s">
        <v>68</v>
      </c>
      <c r="K11" s="8" t="s">
        <v>139</v>
      </c>
      <c r="L11" s="8" t="s">
        <v>149</v>
      </c>
      <c r="M11" s="9">
        <v>3200</v>
      </c>
      <c r="N11" s="10">
        <v>4200000000</v>
      </c>
      <c r="O11" s="8" t="s">
        <v>93</v>
      </c>
      <c r="P11" s="8" t="s">
        <v>94</v>
      </c>
      <c r="Q11" s="10">
        <v>42000</v>
      </c>
      <c r="R11" s="8" t="s">
        <v>150</v>
      </c>
      <c r="S11" s="8" t="s">
        <v>151</v>
      </c>
      <c r="T11" s="8" t="s">
        <v>152</v>
      </c>
      <c r="U11" s="8" t="s">
        <v>153</v>
      </c>
      <c r="V11" s="8"/>
      <c r="W11" s="10">
        <v>84000000</v>
      </c>
      <c r="X11" s="8"/>
      <c r="Y11" s="8"/>
      <c r="Z11" s="8"/>
      <c r="AA11" s="8"/>
      <c r="AB11" s="8"/>
      <c r="AC11" s="8"/>
      <c r="AD11" s="8"/>
      <c r="AE11" s="8"/>
      <c r="AF11" s="11">
        <v>78.5</v>
      </c>
      <c r="AG11" s="11">
        <v>39.3</v>
      </c>
      <c r="AH11" s="11">
        <v>88</v>
      </c>
      <c r="AI11" s="11">
        <v>100</v>
      </c>
      <c r="AJ11" s="11">
        <v>40</v>
      </c>
      <c r="AK11" s="12">
        <v>67.5</v>
      </c>
      <c r="AL11" s="11" t="s">
        <v>154</v>
      </c>
      <c r="AM11" s="11" t="s">
        <v>61</v>
      </c>
      <c r="AN11" s="11" t="s">
        <v>62</v>
      </c>
      <c r="AO11" s="11" t="s">
        <v>63</v>
      </c>
      <c r="AP11" s="11" t="s">
        <v>155</v>
      </c>
      <c r="AQ11" s="11" t="s">
        <v>47</v>
      </c>
      <c r="AR11" s="8"/>
      <c r="AS11" s="8"/>
    </row>
    <row r="12" spans="1:45">
      <c r="A12" s="8" t="s">
        <v>156</v>
      </c>
      <c r="B12" s="8" t="s">
        <v>46</v>
      </c>
      <c r="C12" s="8" t="s">
        <v>47</v>
      </c>
      <c r="D12" s="8" t="s">
        <v>48</v>
      </c>
      <c r="E12" s="8"/>
      <c r="F12" s="8"/>
      <c r="G12" s="8"/>
      <c r="H12" s="8" t="s">
        <v>157</v>
      </c>
      <c r="I12" s="8" t="s">
        <v>158</v>
      </c>
      <c r="J12" s="8" t="s">
        <v>159</v>
      </c>
      <c r="K12" s="8" t="s">
        <v>131</v>
      </c>
      <c r="L12" s="8" t="s">
        <v>149</v>
      </c>
      <c r="M12" s="9">
        <v>320</v>
      </c>
      <c r="N12" s="10">
        <v>180000000</v>
      </c>
      <c r="O12" s="8" t="s">
        <v>160</v>
      </c>
      <c r="P12" s="8" t="s">
        <v>47</v>
      </c>
      <c r="Q12" s="10">
        <v>95000</v>
      </c>
      <c r="R12" s="8" t="s">
        <v>161</v>
      </c>
      <c r="S12" s="8" t="s">
        <v>162</v>
      </c>
      <c r="T12" s="8" t="s">
        <v>163</v>
      </c>
      <c r="U12" s="8" t="s">
        <v>164</v>
      </c>
      <c r="V12" s="8"/>
      <c r="W12" s="10">
        <v>2100000</v>
      </c>
      <c r="X12" s="8"/>
      <c r="Y12" s="8"/>
      <c r="Z12" s="8"/>
      <c r="AA12" s="8"/>
      <c r="AB12" s="8"/>
      <c r="AC12" s="8"/>
      <c r="AD12" s="8"/>
      <c r="AE12" s="8"/>
      <c r="AF12" s="11">
        <v>46.4</v>
      </c>
      <c r="AG12" s="11">
        <v>50.7</v>
      </c>
      <c r="AH12" s="11">
        <v>88</v>
      </c>
      <c r="AI12" s="11">
        <v>75</v>
      </c>
      <c r="AJ12" s="11">
        <v>100</v>
      </c>
      <c r="AK12" s="12">
        <v>63.6</v>
      </c>
      <c r="AL12" s="11" t="s">
        <v>154</v>
      </c>
      <c r="AM12" s="11" t="s">
        <v>165</v>
      </c>
      <c r="AN12" s="11" t="s">
        <v>62</v>
      </c>
      <c r="AO12" s="11" t="s">
        <v>166</v>
      </c>
      <c r="AP12" s="11" t="s">
        <v>64</v>
      </c>
      <c r="AQ12" s="11" t="s">
        <v>47</v>
      </c>
      <c r="AR12" s="8"/>
      <c r="AS12" s="8"/>
    </row>
    <row r="13" spans="1:45">
      <c r="A13" s="8" t="s">
        <v>167</v>
      </c>
      <c r="B13" s="8" t="s">
        <v>168</v>
      </c>
      <c r="C13" s="8" t="s">
        <v>47</v>
      </c>
      <c r="D13" s="8" t="s">
        <v>169</v>
      </c>
      <c r="E13" s="8"/>
      <c r="F13" s="8"/>
      <c r="G13" s="8"/>
      <c r="H13" s="8" t="s">
        <v>170</v>
      </c>
      <c r="I13" s="8" t="s">
        <v>171</v>
      </c>
      <c r="J13" s="8" t="s">
        <v>79</v>
      </c>
      <c r="K13" s="8" t="s">
        <v>172</v>
      </c>
      <c r="L13" s="8" t="s">
        <v>140</v>
      </c>
      <c r="M13" s="9">
        <v>5000</v>
      </c>
      <c r="N13" s="10">
        <v>1600000000</v>
      </c>
      <c r="O13" s="8" t="s">
        <v>173</v>
      </c>
      <c r="P13" s="8" t="s">
        <v>47</v>
      </c>
      <c r="Q13" s="10">
        <v>0</v>
      </c>
      <c r="R13" s="8"/>
      <c r="S13" s="8"/>
      <c r="T13" s="8"/>
      <c r="U13" s="8"/>
      <c r="V13" s="8"/>
      <c r="W13" s="10">
        <v>88000000</v>
      </c>
      <c r="X13" s="8"/>
      <c r="Y13" s="8"/>
      <c r="Z13" s="8"/>
      <c r="AA13" s="8"/>
      <c r="AB13" s="8"/>
      <c r="AC13" s="8"/>
      <c r="AD13" s="8"/>
      <c r="AE13" s="8"/>
      <c r="AF13" s="11">
        <v>78.90000000000001</v>
      </c>
      <c r="AG13" s="11">
        <v>25.3</v>
      </c>
      <c r="AH13" s="11">
        <v>98</v>
      </c>
      <c r="AI13" s="11">
        <v>0</v>
      </c>
      <c r="AJ13" s="11">
        <v>100</v>
      </c>
      <c r="AK13" s="12">
        <v>56</v>
      </c>
      <c r="AL13" s="11" t="s">
        <v>154</v>
      </c>
      <c r="AM13" s="11" t="s">
        <v>61</v>
      </c>
      <c r="AN13" s="11" t="s">
        <v>174</v>
      </c>
      <c r="AO13" s="11" t="s">
        <v>63</v>
      </c>
      <c r="AP13" s="11" t="s">
        <v>175</v>
      </c>
      <c r="AQ13" s="11" t="s">
        <v>94</v>
      </c>
      <c r="AR13" s="8"/>
      <c r="AS13" s="8"/>
    </row>
    <row r="14" spans="1:45">
      <c r="A14" s="8" t="s">
        <v>176</v>
      </c>
      <c r="B14" s="8" t="s">
        <v>168</v>
      </c>
      <c r="C14" s="8" t="s">
        <v>47</v>
      </c>
      <c r="D14" s="8" t="s">
        <v>169</v>
      </c>
      <c r="E14" s="8"/>
      <c r="F14" s="8"/>
      <c r="G14" s="8"/>
      <c r="H14" s="8" t="s">
        <v>177</v>
      </c>
      <c r="I14" s="8" t="s">
        <v>178</v>
      </c>
      <c r="J14" s="8" t="s">
        <v>68</v>
      </c>
      <c r="K14" s="8" t="s">
        <v>179</v>
      </c>
      <c r="L14" s="8" t="s">
        <v>122</v>
      </c>
      <c r="M14" s="9">
        <v>8500</v>
      </c>
      <c r="N14" s="10">
        <v>2100000000</v>
      </c>
      <c r="O14" s="8" t="s">
        <v>93</v>
      </c>
      <c r="P14" s="8" t="s">
        <v>94</v>
      </c>
      <c r="Q14" s="10">
        <v>0</v>
      </c>
      <c r="R14" s="8"/>
      <c r="S14" s="8"/>
      <c r="T14" s="8"/>
      <c r="U14" s="8"/>
      <c r="V14" s="8"/>
      <c r="W14" s="10">
        <v>126000000</v>
      </c>
      <c r="X14" s="8"/>
      <c r="Y14" s="8"/>
      <c r="Z14" s="8"/>
      <c r="AA14" s="8"/>
      <c r="AB14" s="8"/>
      <c r="AC14" s="8"/>
      <c r="AD14" s="8"/>
      <c r="AE14" s="8"/>
      <c r="AF14" s="11">
        <v>82</v>
      </c>
      <c r="AG14" s="11">
        <v>25.3</v>
      </c>
      <c r="AH14" s="11">
        <v>97</v>
      </c>
      <c r="AI14" s="11">
        <v>0</v>
      </c>
      <c r="AJ14" s="11">
        <v>40</v>
      </c>
      <c r="AK14" s="12">
        <v>50.8</v>
      </c>
      <c r="AL14" s="11" t="s">
        <v>180</v>
      </c>
      <c r="AM14" s="11" t="s">
        <v>61</v>
      </c>
      <c r="AN14" s="11" t="s">
        <v>181</v>
      </c>
      <c r="AO14" s="11" t="s">
        <v>63</v>
      </c>
      <c r="AP14" s="11" t="s">
        <v>155</v>
      </c>
      <c r="AQ14" s="11" t="s">
        <v>94</v>
      </c>
      <c r="AR14" s="8"/>
      <c r="AS14" s="8"/>
    </row>
    <row r="15" spans="1:45">
      <c r="A15" s="8" t="s">
        <v>182</v>
      </c>
      <c r="B15" s="8" t="s">
        <v>168</v>
      </c>
      <c r="C15" s="8" t="s">
        <v>47</v>
      </c>
      <c r="D15" s="8" t="s">
        <v>169</v>
      </c>
      <c r="E15" s="8"/>
      <c r="F15" s="8"/>
      <c r="G15" s="8"/>
      <c r="H15" s="8" t="s">
        <v>183</v>
      </c>
      <c r="I15" s="8" t="s">
        <v>184</v>
      </c>
      <c r="J15" s="8" t="s">
        <v>68</v>
      </c>
      <c r="K15" s="8" t="s">
        <v>185</v>
      </c>
      <c r="L15" s="8" t="s">
        <v>186</v>
      </c>
      <c r="M15" s="9">
        <v>600</v>
      </c>
      <c r="N15" s="10">
        <v>140000000</v>
      </c>
      <c r="O15" s="8" t="s">
        <v>187</v>
      </c>
      <c r="P15" s="8" t="s">
        <v>47</v>
      </c>
      <c r="Q15" s="10">
        <v>0</v>
      </c>
      <c r="R15" s="8"/>
      <c r="S15" s="8"/>
      <c r="T15" s="8"/>
      <c r="U15" s="8"/>
      <c r="V15" s="8"/>
      <c r="W15" s="10">
        <v>8400000</v>
      </c>
      <c r="X15" s="8"/>
      <c r="Y15" s="8"/>
      <c r="Z15" s="8"/>
      <c r="AA15" s="8"/>
      <c r="AB15" s="8"/>
      <c r="AC15" s="8"/>
      <c r="AD15" s="8"/>
      <c r="AE15" s="8"/>
      <c r="AF15" s="11">
        <v>58.5</v>
      </c>
      <c r="AG15" s="11">
        <v>25.3</v>
      </c>
      <c r="AH15" s="11">
        <v>85</v>
      </c>
      <c r="AI15" s="11">
        <v>0</v>
      </c>
      <c r="AJ15" s="11">
        <v>100</v>
      </c>
      <c r="AK15" s="12">
        <v>47.9</v>
      </c>
      <c r="AL15" s="11" t="s">
        <v>180</v>
      </c>
      <c r="AM15" s="11" t="s">
        <v>188</v>
      </c>
      <c r="AN15" s="11" t="s">
        <v>181</v>
      </c>
      <c r="AO15" s="11" t="s">
        <v>63</v>
      </c>
      <c r="AP15" s="11" t="s">
        <v>155</v>
      </c>
      <c r="AQ15" s="11" t="s">
        <v>94</v>
      </c>
      <c r="AR15" s="8"/>
      <c r="AS15" s="8"/>
    </row>
    <row r="16" spans="1:45">
      <c r="A16" s="8" t="s">
        <v>189</v>
      </c>
      <c r="B16" s="8" t="s">
        <v>168</v>
      </c>
      <c r="C16" s="8" t="s">
        <v>47</v>
      </c>
      <c r="D16" s="8" t="s">
        <v>169</v>
      </c>
      <c r="E16" s="8"/>
      <c r="F16" s="8"/>
      <c r="G16" s="8"/>
      <c r="H16" s="8" t="s">
        <v>190</v>
      </c>
      <c r="I16" s="8" t="s">
        <v>191</v>
      </c>
      <c r="J16" s="8" t="s">
        <v>192</v>
      </c>
      <c r="K16" s="8" t="s">
        <v>193</v>
      </c>
      <c r="L16" s="8" t="s">
        <v>194</v>
      </c>
      <c r="M16" s="9">
        <v>1200</v>
      </c>
      <c r="N16" s="10">
        <v>900000000</v>
      </c>
      <c r="O16" s="8" t="s">
        <v>93</v>
      </c>
      <c r="P16" s="8" t="s">
        <v>94</v>
      </c>
      <c r="Q16" s="10">
        <v>0</v>
      </c>
      <c r="R16" s="8"/>
      <c r="S16" s="8"/>
      <c r="T16" s="8"/>
      <c r="U16" s="8"/>
      <c r="V16" s="8"/>
      <c r="W16" s="10">
        <v>18000000</v>
      </c>
      <c r="X16" s="8"/>
      <c r="Y16" s="8"/>
      <c r="Z16" s="8"/>
      <c r="AA16" s="8"/>
      <c r="AB16" s="8"/>
      <c r="AC16" s="8"/>
      <c r="AD16" s="8"/>
      <c r="AE16" s="8"/>
      <c r="AF16" s="11">
        <v>65.09999999999999</v>
      </c>
      <c r="AG16" s="11">
        <v>25.3</v>
      </c>
      <c r="AH16" s="11">
        <v>50</v>
      </c>
      <c r="AI16" s="11">
        <v>0</v>
      </c>
      <c r="AJ16" s="11">
        <v>40</v>
      </c>
      <c r="AK16" s="12">
        <v>38.6</v>
      </c>
      <c r="AL16" s="11" t="s">
        <v>195</v>
      </c>
      <c r="AM16" s="11" t="s">
        <v>61</v>
      </c>
      <c r="AN16" s="11" t="s">
        <v>181</v>
      </c>
      <c r="AO16" s="11" t="s">
        <v>63</v>
      </c>
      <c r="AP16" s="11" t="s">
        <v>196</v>
      </c>
      <c r="AQ16" s="11" t="s">
        <v>94</v>
      </c>
      <c r="AR16" s="8"/>
      <c r="AS16" s="8"/>
    </row>
  </sheetData>
  <autoFilter ref="A1:AS16"/>
  <dataValidations count="7">
    <dataValidation type="list" allowBlank="1" showInputMessage="1" showErrorMessage="1" sqref="B2:B201">
      <formula1>"New,Enriching,Ready to Call,In Cadence,Qualified,Disqualified,Nurture"</formula1>
    </dataValidation>
    <dataValidation type="list" allowBlank="1" showInputMessage="1" showErrorMessage="1" sqref="Y2:Y201">
      <formula1>"Yes,No,Unknown"</formula1>
    </dataValidation>
    <dataValidation type="list" allowBlank="1" showInputMessage="1" showErrorMessage="1" sqref="Z2:Z201">
      <formula1>"Manual / No TMS,Basic TMS,Optimized TMS"</formula1>
    </dataValidation>
    <dataValidation type="list" allowBlank="1" showInputMessage="1" showErrorMessage="1" sqref="AA2:AA201">
      <formula1>"Yes,No,Unknown"</formula1>
    </dataValidation>
    <dataValidation type="list" allowBlank="1" showInputMessage="1" showErrorMessage="1" sqref="AB2:AB201">
      <formula1>"None,Month-to-month,Renewal &lt;6mo,Locked"</formula1>
    </dataValidation>
    <dataValidation type="list" allowBlank="1" showInputMessage="1" showErrorMessage="1" sqref="AC2:AC201">
      <formula1>"Broker/Spot,Mixed,Direct/Contracted,Private Fleet"</formula1>
    </dataValidation>
    <dataValidation type="list" allowBlank="1" showInputMessage="1" showErrorMessage="1" sqref="AR2:AR201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1.7109375" customWidth="1"/>
    <col min="2" max="2" width="30.7109375" customWidth="1"/>
    <col min="3" max="3" width="12.7109375" customWidth="1"/>
    <col min="4" max="4" width="13.7109375" customWidth="1"/>
    <col min="5" max="5" width="22.7109375" customWidth="1"/>
    <col min="6" max="6" width="24.7109375" customWidth="1"/>
    <col min="7" max="7" width="14.7109375" customWidth="1"/>
    <col min="8" max="9" width="9.7109375" customWidth="1"/>
    <col min="10" max="10" width="12.7109375" customWidth="1"/>
    <col min="11" max="11" width="20.7109375" customWidth="1"/>
    <col min="12" max="12" width="12.7109375" customWidth="1"/>
    <col min="13" max="14" width="11.7109375" customWidth="1"/>
    <col min="15" max="15" width="10.7109375" customWidth="1"/>
    <col min="16" max="16" width="13.7109375" customWidth="1"/>
    <col min="17" max="18" width="15.7109375" customWidth="1"/>
    <col min="19" max="19" width="13.7109375" customWidth="1"/>
    <col min="20" max="20" width="15.7109375" customWidth="1"/>
    <col min="21" max="21" width="14.7109375" customWidth="1"/>
    <col min="22" max="22" width="13.7109375" customWidth="1"/>
    <col min="23" max="24" width="12.7109375" customWidth="1"/>
    <col min="25" max="25" width="13.7109375" customWidth="1"/>
    <col min="26" max="26" width="14.7109375" customWidth="1"/>
    <col min="27" max="27" width="24.7109375" customWidth="1"/>
  </cols>
  <sheetData>
    <row r="1" spans="1:27" ht="42" customHeight="1">
      <c r="A1" s="1" t="s">
        <v>0</v>
      </c>
      <c r="B1" s="1" t="s">
        <v>7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4</v>
      </c>
      <c r="H1" s="6" t="s">
        <v>37</v>
      </c>
      <c r="I1" s="6" t="s">
        <v>39</v>
      </c>
      <c r="J1" s="6" t="s">
        <v>38</v>
      </c>
      <c r="K1" s="6" t="s">
        <v>40</v>
      </c>
      <c r="L1" s="2" t="s">
        <v>197</v>
      </c>
      <c r="M1" s="2" t="s">
        <v>198</v>
      </c>
      <c r="N1" s="2" t="s">
        <v>199</v>
      </c>
      <c r="O1" s="2" t="s">
        <v>200</v>
      </c>
      <c r="P1" s="2" t="s">
        <v>201</v>
      </c>
      <c r="Q1" s="2" t="s">
        <v>202</v>
      </c>
      <c r="R1" s="2" t="s">
        <v>203</v>
      </c>
      <c r="S1" s="2" t="s">
        <v>204</v>
      </c>
      <c r="T1" s="2" t="s">
        <v>205</v>
      </c>
      <c r="U1" s="2" t="s">
        <v>206</v>
      </c>
      <c r="V1" s="2" t="s">
        <v>207</v>
      </c>
      <c r="W1" s="7" t="s">
        <v>208</v>
      </c>
      <c r="X1" s="7" t="s">
        <v>209</v>
      </c>
      <c r="Y1" s="7" t="s">
        <v>210</v>
      </c>
      <c r="Z1" s="7" t="s">
        <v>211</v>
      </c>
      <c r="AA1" s="7" t="s">
        <v>44</v>
      </c>
    </row>
    <row r="2" spans="1:27">
      <c r="A2" s="8" t="s">
        <v>45</v>
      </c>
      <c r="B2" s="8" t="s">
        <v>49</v>
      </c>
      <c r="C2" s="8" t="s">
        <v>55</v>
      </c>
      <c r="D2" s="8" t="s">
        <v>56</v>
      </c>
      <c r="E2" s="8" t="s">
        <v>57</v>
      </c>
      <c r="F2" s="8" t="s">
        <v>58</v>
      </c>
      <c r="G2" s="8" t="s">
        <v>212</v>
      </c>
      <c r="H2" s="13" t="s">
        <v>60</v>
      </c>
      <c r="I2" s="13" t="s">
        <v>62</v>
      </c>
      <c r="J2" s="13" t="s">
        <v>61</v>
      </c>
      <c r="K2" s="13" t="s">
        <v>63</v>
      </c>
      <c r="L2" s="8">
        <v>1</v>
      </c>
      <c r="M2" s="8">
        <v>1</v>
      </c>
      <c r="N2" s="8">
        <v>1</v>
      </c>
      <c r="O2" s="8">
        <v>0</v>
      </c>
      <c r="P2" s="8">
        <v>0</v>
      </c>
      <c r="Q2" s="14">
        <v>46266</v>
      </c>
      <c r="R2" s="8" t="s">
        <v>213</v>
      </c>
      <c r="S2" s="9">
        <f>IF(Q2="","",TODAY()-Q2)</f>
        <v>0</v>
      </c>
      <c r="T2" s="14">
        <f>IF(Q2="","",Q2+VLOOKUP(L2,CADENCE!$A:$B,2,FALSE))</f>
        <v>0</v>
      </c>
      <c r="U2" s="15">
        <f>IF(T2="","",IF(TODAY()&gt;=T2,"FOLLOW UP","ok"))</f>
        <v>0</v>
      </c>
      <c r="V2" s="8">
        <f>IF(S2="","",IF(S2&gt;14,"OVERDUE",IF(S2&gt;4,"DUE SOON","ON TRACK")))</f>
        <v>0</v>
      </c>
      <c r="W2" s="8" t="s">
        <v>94</v>
      </c>
      <c r="X2" s="8" t="s">
        <v>94</v>
      </c>
      <c r="Y2" s="8" t="s">
        <v>214</v>
      </c>
      <c r="Z2" s="8" t="s">
        <v>215</v>
      </c>
      <c r="AA2" s="8"/>
    </row>
    <row r="3" spans="1:27">
      <c r="A3" s="8" t="s">
        <v>65</v>
      </c>
      <c r="B3" s="8" t="s">
        <v>66</v>
      </c>
      <c r="C3" s="8" t="s">
        <v>72</v>
      </c>
      <c r="D3" s="8" t="s">
        <v>73</v>
      </c>
      <c r="E3" s="8" t="s">
        <v>74</v>
      </c>
      <c r="F3" s="8" t="s">
        <v>75</v>
      </c>
      <c r="G3" s="8" t="s">
        <v>212</v>
      </c>
      <c r="H3" s="13" t="s">
        <v>60</v>
      </c>
      <c r="I3" s="13" t="s">
        <v>62</v>
      </c>
      <c r="J3" s="13" t="s">
        <v>61</v>
      </c>
      <c r="K3" s="13" t="s">
        <v>63</v>
      </c>
      <c r="L3" s="8">
        <v>2</v>
      </c>
      <c r="M3" s="8">
        <v>2</v>
      </c>
      <c r="N3" s="8">
        <v>2</v>
      </c>
      <c r="O3" s="8">
        <v>1</v>
      </c>
      <c r="P3" s="8">
        <v>1</v>
      </c>
      <c r="Q3" s="14">
        <v>46264</v>
      </c>
      <c r="R3" s="8" t="s">
        <v>216</v>
      </c>
      <c r="S3" s="9">
        <f>IF(Q3="","",TODAY()-Q3)</f>
        <v>0</v>
      </c>
      <c r="T3" s="14">
        <f>IF(Q3="","",Q3+VLOOKUP(L3,CADENCE!$A:$B,2,FALSE))</f>
        <v>0</v>
      </c>
      <c r="U3" s="15">
        <f>IF(T3="","",IF(TODAY()&gt;=T3,"FOLLOW UP","ok"))</f>
        <v>0</v>
      </c>
      <c r="V3" s="8">
        <f>IF(S3="","",IF(S3&gt;14,"OVERDUE",IF(S3&gt;4,"DUE SOON","ON TRACK")))</f>
        <v>0</v>
      </c>
      <c r="W3" s="8" t="s">
        <v>94</v>
      </c>
      <c r="X3" s="8" t="s">
        <v>94</v>
      </c>
      <c r="Y3" s="8" t="s">
        <v>214</v>
      </c>
      <c r="Z3" s="8" t="s">
        <v>215</v>
      </c>
      <c r="AA3" s="8"/>
    </row>
    <row r="4" spans="1:27">
      <c r="A4" s="8" t="s">
        <v>76</v>
      </c>
      <c r="B4" s="8" t="s">
        <v>77</v>
      </c>
      <c r="C4" s="8" t="s">
        <v>83</v>
      </c>
      <c r="D4" s="8" t="s">
        <v>84</v>
      </c>
      <c r="E4" s="8" t="s">
        <v>85</v>
      </c>
      <c r="F4" s="8" t="s">
        <v>86</v>
      </c>
      <c r="G4" s="8" t="s">
        <v>212</v>
      </c>
      <c r="H4" s="13" t="s">
        <v>60</v>
      </c>
      <c r="I4" s="13" t="s">
        <v>62</v>
      </c>
      <c r="J4" s="13" t="s">
        <v>61</v>
      </c>
      <c r="K4" s="13" t="s">
        <v>63</v>
      </c>
      <c r="L4" s="8">
        <v>2</v>
      </c>
      <c r="M4" s="8">
        <v>2</v>
      </c>
      <c r="N4" s="8">
        <v>3</v>
      </c>
      <c r="O4" s="8">
        <v>0</v>
      </c>
      <c r="P4" s="8">
        <v>0</v>
      </c>
      <c r="Q4" s="14">
        <v>46263</v>
      </c>
      <c r="R4" s="8" t="s">
        <v>213</v>
      </c>
      <c r="S4" s="9">
        <f>IF(Q4="","",TODAY()-Q4)</f>
        <v>0</v>
      </c>
      <c r="T4" s="14">
        <f>IF(Q4="","",Q4+VLOOKUP(L4,CADENCE!$A:$B,2,FALSE))</f>
        <v>0</v>
      </c>
      <c r="U4" s="15">
        <f>IF(T4="","",IF(TODAY()&gt;=T4,"FOLLOW UP","ok"))</f>
        <v>0</v>
      </c>
      <c r="V4" s="8">
        <f>IF(S4="","",IF(S4&gt;14,"OVERDUE",IF(S4&gt;4,"DUE SOON","ON TRACK")))</f>
        <v>0</v>
      </c>
      <c r="W4" s="8" t="s">
        <v>94</v>
      </c>
      <c r="X4" s="8" t="s">
        <v>94</v>
      </c>
      <c r="Y4" s="8" t="s">
        <v>214</v>
      </c>
      <c r="Z4" s="8" t="s">
        <v>215</v>
      </c>
      <c r="AA4" s="8"/>
    </row>
    <row r="5" spans="1:27">
      <c r="A5" s="8" t="s">
        <v>88</v>
      </c>
      <c r="B5" s="8" t="s">
        <v>89</v>
      </c>
      <c r="C5" s="8" t="s">
        <v>95</v>
      </c>
      <c r="D5" s="8" t="s">
        <v>96</v>
      </c>
      <c r="E5" s="8" t="s">
        <v>97</v>
      </c>
      <c r="F5" s="8" t="s">
        <v>98</v>
      </c>
      <c r="G5" s="8" t="s">
        <v>212</v>
      </c>
      <c r="H5" s="13" t="s">
        <v>60</v>
      </c>
      <c r="I5" s="13" t="s">
        <v>62</v>
      </c>
      <c r="J5" s="13" t="s">
        <v>61</v>
      </c>
      <c r="K5" s="13" t="s">
        <v>63</v>
      </c>
      <c r="L5" s="8">
        <v>3</v>
      </c>
      <c r="M5" s="8">
        <v>3</v>
      </c>
      <c r="N5" s="8">
        <v>1</v>
      </c>
      <c r="O5" s="8">
        <v>1</v>
      </c>
      <c r="P5" s="8">
        <v>1</v>
      </c>
      <c r="Q5" s="14">
        <v>46261</v>
      </c>
      <c r="R5" s="8" t="s">
        <v>217</v>
      </c>
      <c r="S5" s="9">
        <f>IF(Q5="","",TODAY()-Q5)</f>
        <v>0</v>
      </c>
      <c r="T5" s="14">
        <f>IF(Q5="","",Q5+VLOOKUP(L5,CADENCE!$A:$B,2,FALSE))</f>
        <v>0</v>
      </c>
      <c r="U5" s="15">
        <f>IF(T5="","",IF(TODAY()&gt;=T5,"FOLLOW UP","ok"))</f>
        <v>0</v>
      </c>
      <c r="V5" s="8">
        <f>IF(S5="","",IF(S5&gt;14,"OVERDUE",IF(S5&gt;4,"DUE SOON","ON TRACK")))</f>
        <v>0</v>
      </c>
      <c r="W5" s="8" t="s">
        <v>94</v>
      </c>
      <c r="X5" s="8" t="s">
        <v>94</v>
      </c>
      <c r="Y5" s="8" t="s">
        <v>214</v>
      </c>
      <c r="Z5" s="8" t="s">
        <v>215</v>
      </c>
      <c r="AA5" s="8"/>
    </row>
    <row r="6" spans="1:27">
      <c r="A6" s="8" t="s">
        <v>101</v>
      </c>
      <c r="B6" s="8" t="s">
        <v>102</v>
      </c>
      <c r="C6" s="8" t="s">
        <v>105</v>
      </c>
      <c r="D6" s="8" t="s">
        <v>106</v>
      </c>
      <c r="E6" s="8" t="s">
        <v>97</v>
      </c>
      <c r="F6" s="8" t="s">
        <v>107</v>
      </c>
      <c r="G6" s="8" t="s">
        <v>212</v>
      </c>
      <c r="H6" s="13" t="s">
        <v>60</v>
      </c>
      <c r="I6" s="13" t="s">
        <v>62</v>
      </c>
      <c r="J6" s="13" t="s">
        <v>61</v>
      </c>
      <c r="K6" s="13" t="s">
        <v>63</v>
      </c>
      <c r="L6" s="8">
        <v>4</v>
      </c>
      <c r="M6" s="8">
        <v>4</v>
      </c>
      <c r="N6" s="8">
        <v>2</v>
      </c>
      <c r="O6" s="8">
        <v>0</v>
      </c>
      <c r="P6" s="8">
        <v>0</v>
      </c>
      <c r="Q6" s="14">
        <v>46259</v>
      </c>
      <c r="R6" s="8" t="s">
        <v>216</v>
      </c>
      <c r="S6" s="9">
        <f>IF(Q6="","",TODAY()-Q6)</f>
        <v>0</v>
      </c>
      <c r="T6" s="14">
        <f>IF(Q6="","",Q6+VLOOKUP(L6,CADENCE!$A:$B,2,FALSE))</f>
        <v>0</v>
      </c>
      <c r="U6" s="15">
        <f>IF(T6="","",IF(TODAY()&gt;=T6,"FOLLOW UP","ok"))</f>
        <v>0</v>
      </c>
      <c r="V6" s="8">
        <f>IF(S6="","",IF(S6&gt;14,"OVERDUE",IF(S6&gt;4,"DUE SOON","ON TRACK")))</f>
        <v>0</v>
      </c>
      <c r="W6" s="8" t="s">
        <v>94</v>
      </c>
      <c r="X6" s="8" t="s">
        <v>94</v>
      </c>
      <c r="Y6" s="8" t="s">
        <v>214</v>
      </c>
      <c r="Z6" s="8" t="s">
        <v>215</v>
      </c>
      <c r="AA6" s="8"/>
    </row>
    <row r="7" spans="1:27">
      <c r="A7" s="8" t="s">
        <v>109</v>
      </c>
      <c r="B7" s="8" t="s">
        <v>110</v>
      </c>
      <c r="C7" s="8" t="s">
        <v>113</v>
      </c>
      <c r="D7" s="8" t="s">
        <v>114</v>
      </c>
      <c r="E7" s="8" t="s">
        <v>115</v>
      </c>
      <c r="F7" s="8" t="s">
        <v>116</v>
      </c>
      <c r="G7" s="8" t="s">
        <v>212</v>
      </c>
      <c r="H7" s="13" t="s">
        <v>60</v>
      </c>
      <c r="I7" s="13" t="s">
        <v>62</v>
      </c>
      <c r="J7" s="13" t="s">
        <v>61</v>
      </c>
      <c r="K7" s="13" t="s">
        <v>63</v>
      </c>
      <c r="L7" s="8">
        <v>1</v>
      </c>
      <c r="M7" s="8">
        <v>1</v>
      </c>
      <c r="N7" s="8">
        <v>3</v>
      </c>
      <c r="O7" s="8">
        <v>1</v>
      </c>
      <c r="P7" s="8">
        <v>1</v>
      </c>
      <c r="Q7" s="14">
        <v>46265</v>
      </c>
      <c r="R7" s="8" t="s">
        <v>213</v>
      </c>
      <c r="S7" s="9">
        <f>IF(Q7="","",TODAY()-Q7)</f>
        <v>0</v>
      </c>
      <c r="T7" s="14">
        <f>IF(Q7="","",Q7+VLOOKUP(L7,CADENCE!$A:$B,2,FALSE))</f>
        <v>0</v>
      </c>
      <c r="U7" s="15">
        <f>IF(T7="","",IF(TODAY()&gt;=T7,"FOLLOW UP","ok"))</f>
        <v>0</v>
      </c>
      <c r="V7" s="8">
        <f>IF(S7="","",IF(S7&gt;14,"OVERDUE",IF(S7&gt;4,"DUE SOON","ON TRACK")))</f>
        <v>0</v>
      </c>
      <c r="W7" s="8" t="s">
        <v>94</v>
      </c>
      <c r="X7" s="8" t="s">
        <v>94</v>
      </c>
      <c r="Y7" s="8" t="s">
        <v>214</v>
      </c>
      <c r="Z7" s="8" t="s">
        <v>215</v>
      </c>
      <c r="AA7" s="8"/>
    </row>
    <row r="8" spans="1:27">
      <c r="A8" s="8" t="s">
        <v>118</v>
      </c>
      <c r="B8" s="8" t="s">
        <v>119</v>
      </c>
      <c r="C8" s="8" t="s">
        <v>123</v>
      </c>
      <c r="D8" s="8" t="s">
        <v>124</v>
      </c>
      <c r="E8" s="8" t="s">
        <v>125</v>
      </c>
      <c r="F8" s="8" t="s">
        <v>126</v>
      </c>
      <c r="G8" s="8" t="s">
        <v>212</v>
      </c>
      <c r="H8" s="13" t="s">
        <v>60</v>
      </c>
      <c r="I8" s="13" t="s">
        <v>62</v>
      </c>
      <c r="J8" s="13" t="s">
        <v>61</v>
      </c>
      <c r="K8" s="13" t="s">
        <v>63</v>
      </c>
      <c r="L8" s="8">
        <v>3</v>
      </c>
      <c r="M8" s="8">
        <v>3</v>
      </c>
      <c r="N8" s="8">
        <v>1</v>
      </c>
      <c r="O8" s="8">
        <v>0</v>
      </c>
      <c r="P8" s="8">
        <v>0</v>
      </c>
      <c r="Q8" s="14">
        <v>46262</v>
      </c>
      <c r="R8" s="8" t="s">
        <v>216</v>
      </c>
      <c r="S8" s="9">
        <f>IF(Q8="","",TODAY()-Q8)</f>
        <v>0</v>
      </c>
      <c r="T8" s="14">
        <f>IF(Q8="","",Q8+VLOOKUP(L8,CADENCE!$A:$B,2,FALSE))</f>
        <v>0</v>
      </c>
      <c r="U8" s="15">
        <f>IF(T8="","",IF(TODAY()&gt;=T8,"FOLLOW UP","ok"))</f>
        <v>0</v>
      </c>
      <c r="V8" s="8">
        <f>IF(S8="","",IF(S8&gt;14,"OVERDUE",IF(S8&gt;4,"DUE SOON","ON TRACK")))</f>
        <v>0</v>
      </c>
      <c r="W8" s="8" t="s">
        <v>94</v>
      </c>
      <c r="X8" s="8" t="s">
        <v>94</v>
      </c>
      <c r="Y8" s="8" t="s">
        <v>214</v>
      </c>
      <c r="Z8" s="8" t="s">
        <v>215</v>
      </c>
      <c r="AA8" s="8"/>
    </row>
    <row r="9" spans="1:27">
      <c r="A9" s="8" t="s">
        <v>128</v>
      </c>
      <c r="B9" s="8" t="s">
        <v>129</v>
      </c>
      <c r="C9" s="8" t="s">
        <v>123</v>
      </c>
      <c r="D9" s="8" t="s">
        <v>133</v>
      </c>
      <c r="E9" s="8" t="s">
        <v>134</v>
      </c>
      <c r="F9" s="8" t="s">
        <v>135</v>
      </c>
      <c r="G9" s="8" t="s">
        <v>212</v>
      </c>
      <c r="H9" s="13" t="s">
        <v>60</v>
      </c>
      <c r="I9" s="13" t="s">
        <v>62</v>
      </c>
      <c r="J9" s="13" t="s">
        <v>61</v>
      </c>
      <c r="K9" s="13" t="s">
        <v>63</v>
      </c>
      <c r="L9" s="8">
        <v>4</v>
      </c>
      <c r="M9" s="8">
        <v>4</v>
      </c>
      <c r="N9" s="8">
        <v>2</v>
      </c>
      <c r="O9" s="8">
        <v>1</v>
      </c>
      <c r="P9" s="8">
        <v>1</v>
      </c>
      <c r="Q9" s="14">
        <v>46260</v>
      </c>
      <c r="R9" s="8" t="s">
        <v>213</v>
      </c>
      <c r="S9" s="9">
        <f>IF(Q9="","",TODAY()-Q9)</f>
        <v>0</v>
      </c>
      <c r="T9" s="14">
        <f>IF(Q9="","",Q9+VLOOKUP(L9,CADENCE!$A:$B,2,FALSE))</f>
        <v>0</v>
      </c>
      <c r="U9" s="15">
        <f>IF(T9="","",IF(TODAY()&gt;=T9,"FOLLOW UP","ok"))</f>
        <v>0</v>
      </c>
      <c r="V9" s="8">
        <f>IF(S9="","",IF(S9&gt;14,"OVERDUE",IF(S9&gt;4,"DUE SOON","ON TRACK")))</f>
        <v>0</v>
      </c>
      <c r="W9" s="8" t="s">
        <v>94</v>
      </c>
      <c r="X9" s="8" t="s">
        <v>94</v>
      </c>
      <c r="Y9" s="8" t="s">
        <v>214</v>
      </c>
      <c r="Z9" s="8" t="s">
        <v>215</v>
      </c>
      <c r="AA9" s="8"/>
    </row>
    <row r="10" spans="1:27">
      <c r="A10" s="8" t="s">
        <v>136</v>
      </c>
      <c r="B10" s="8" t="s">
        <v>137</v>
      </c>
      <c r="C10" s="8" t="s">
        <v>141</v>
      </c>
      <c r="D10" s="8" t="s">
        <v>142</v>
      </c>
      <c r="E10" s="8" t="s">
        <v>143</v>
      </c>
      <c r="F10" s="8" t="s">
        <v>144</v>
      </c>
      <c r="G10" s="8" t="s">
        <v>212</v>
      </c>
      <c r="H10" s="13" t="s">
        <v>60</v>
      </c>
      <c r="I10" s="13" t="s">
        <v>62</v>
      </c>
      <c r="J10" s="13" t="s">
        <v>61</v>
      </c>
      <c r="K10" s="13" t="s">
        <v>63</v>
      </c>
      <c r="L10" s="8">
        <v>5</v>
      </c>
      <c r="M10" s="8">
        <v>5</v>
      </c>
      <c r="N10" s="8">
        <v>3</v>
      </c>
      <c r="O10" s="8">
        <v>0</v>
      </c>
      <c r="P10" s="8">
        <v>0</v>
      </c>
      <c r="Q10" s="14">
        <v>46258</v>
      </c>
      <c r="R10" s="8" t="s">
        <v>217</v>
      </c>
      <c r="S10" s="9">
        <f>IF(Q10="","",TODAY()-Q10)</f>
        <v>0</v>
      </c>
      <c r="T10" s="14">
        <f>IF(Q10="","",Q10+VLOOKUP(L10,CADENCE!$A:$B,2,FALSE))</f>
        <v>0</v>
      </c>
      <c r="U10" s="15">
        <f>IF(T10="","",IF(TODAY()&gt;=T10,"FOLLOW UP","ok"))</f>
        <v>0</v>
      </c>
      <c r="V10" s="8">
        <f>IF(S10="","",IF(S10&gt;14,"OVERDUE",IF(S10&gt;4,"DUE SOON","ON TRACK")))</f>
        <v>0</v>
      </c>
      <c r="W10" s="8" t="s">
        <v>94</v>
      </c>
      <c r="X10" s="8" t="s">
        <v>94</v>
      </c>
      <c r="Y10" s="8" t="s">
        <v>214</v>
      </c>
      <c r="Z10" s="8" t="s">
        <v>215</v>
      </c>
      <c r="AA10" s="8"/>
    </row>
    <row r="11" spans="1:27">
      <c r="A11" s="8" t="s">
        <v>146</v>
      </c>
      <c r="B11" s="8" t="s">
        <v>147</v>
      </c>
      <c r="C11" s="8" t="s">
        <v>150</v>
      </c>
      <c r="D11" s="8" t="s">
        <v>151</v>
      </c>
      <c r="E11" s="8" t="s">
        <v>152</v>
      </c>
      <c r="F11" s="8" t="s">
        <v>153</v>
      </c>
      <c r="G11" s="8" t="s">
        <v>212</v>
      </c>
      <c r="H11" s="13" t="s">
        <v>154</v>
      </c>
      <c r="I11" s="13" t="s">
        <v>62</v>
      </c>
      <c r="J11" s="13" t="s">
        <v>61</v>
      </c>
      <c r="K11" s="13" t="s">
        <v>63</v>
      </c>
      <c r="L11" s="8">
        <v>2</v>
      </c>
      <c r="M11" s="8">
        <v>2</v>
      </c>
      <c r="N11" s="8">
        <v>1</v>
      </c>
      <c r="O11" s="8">
        <v>1</v>
      </c>
      <c r="P11" s="8">
        <v>1</v>
      </c>
      <c r="Q11" s="14">
        <v>46264</v>
      </c>
      <c r="R11" s="8" t="s">
        <v>216</v>
      </c>
      <c r="S11" s="9">
        <f>IF(Q11="","",TODAY()-Q11)</f>
        <v>0</v>
      </c>
      <c r="T11" s="14">
        <f>IF(Q11="","",Q11+VLOOKUP(L11,CADENCE!$A:$B,2,FALSE))</f>
        <v>0</v>
      </c>
      <c r="U11" s="15">
        <f>IF(T11="","",IF(TODAY()&gt;=T11,"FOLLOW UP","ok"))</f>
        <v>0</v>
      </c>
      <c r="V11" s="8">
        <f>IF(S11="","",IF(S11&gt;14,"OVERDUE",IF(S11&gt;4,"DUE SOON","ON TRACK")))</f>
        <v>0</v>
      </c>
      <c r="W11" s="8" t="s">
        <v>94</v>
      </c>
      <c r="X11" s="8" t="s">
        <v>94</v>
      </c>
      <c r="Y11" s="8" t="s">
        <v>214</v>
      </c>
      <c r="Z11" s="8" t="s">
        <v>215</v>
      </c>
      <c r="AA11" s="8"/>
    </row>
  </sheetData>
  <autoFilter ref="A1:AA11"/>
  <dataValidations count="4">
    <dataValidation type="list" allowBlank="1" showInputMessage="1" showErrorMessage="1" sqref="R2:R301">
      <formula1>"Email,Call,Voicemail,LinkedIn"</formula1>
    </dataValidation>
    <dataValidation type="list" allowBlank="1" showInputMessage="1" showErrorMessage="1" sqref="W2:W301">
      <formula1>"Yes,No"</formula1>
    </dataValidation>
    <dataValidation type="list" allowBlank="1" showInputMessage="1" showErrorMessage="1" sqref="X2:X301">
      <formula1>"Yes,No"</formula1>
    </dataValidation>
    <dataValidation type="list" allowBlank="1" showInputMessage="1" showErrorMessage="1" sqref="Y2:Y301">
      <formula1>"contacted,replied,meeting,disqualified"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cols>
    <col min="1" max="1" width="12.7109375" customWidth="1"/>
    <col min="2" max="2" width="16.7109375" customWidth="1"/>
    <col min="3" max="3" width="30.7109375" customWidth="1"/>
  </cols>
  <sheetData>
    <row r="1" spans="1:3">
      <c r="A1" s="2" t="s">
        <v>218</v>
      </c>
      <c r="B1" s="2" t="s">
        <v>219</v>
      </c>
      <c r="C1" s="2" t="s">
        <v>220</v>
      </c>
    </row>
    <row r="2" spans="1:3">
      <c r="A2" s="8">
        <v>1</v>
      </c>
      <c r="B2" s="8">
        <v>3</v>
      </c>
      <c r="C2" s="8" t="s">
        <v>221</v>
      </c>
    </row>
    <row r="3" spans="1:3">
      <c r="A3" s="8">
        <v>2</v>
      </c>
      <c r="B3" s="8">
        <v>1</v>
      </c>
      <c r="C3" s="8" t="s">
        <v>222</v>
      </c>
    </row>
    <row r="4" spans="1:3">
      <c r="A4" s="8">
        <v>3</v>
      </c>
      <c r="B4" s="8">
        <v>3</v>
      </c>
      <c r="C4" s="8" t="s">
        <v>223</v>
      </c>
    </row>
    <row r="5" spans="1:3">
      <c r="A5" s="8">
        <v>4</v>
      </c>
      <c r="B5" s="8">
        <v>3</v>
      </c>
      <c r="C5" s="8" t="s">
        <v>217</v>
      </c>
    </row>
    <row r="6" spans="1:3">
      <c r="A6" s="8">
        <v>5</v>
      </c>
      <c r="B6" s="8">
        <v>3</v>
      </c>
      <c r="C6" s="8" t="s">
        <v>216</v>
      </c>
    </row>
    <row r="7" spans="1:3">
      <c r="A7" s="8">
        <v>6</v>
      </c>
      <c r="B7" s="8">
        <v>3</v>
      </c>
      <c r="C7" s="8" t="s">
        <v>224</v>
      </c>
    </row>
    <row r="8" spans="1:3">
      <c r="A8" s="8">
        <v>7</v>
      </c>
      <c r="B8" s="8">
        <v>3</v>
      </c>
      <c r="C8" s="8" t="s">
        <v>216</v>
      </c>
    </row>
    <row r="9" spans="1:3">
      <c r="A9" s="8">
        <v>8</v>
      </c>
      <c r="B9" s="8">
        <v>3</v>
      </c>
      <c r="C9" s="8" t="s">
        <v>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B22"/>
  <sheetViews>
    <sheetView showGridLines="0" workbookViewId="0"/>
  </sheetViews>
  <sheetFormatPr defaultRowHeight="15"/>
  <cols>
    <col min="1" max="1" width="3.7109375" customWidth="1"/>
    <col min="2" max="2" width="118.7109375" customWidth="1"/>
  </cols>
  <sheetData>
    <row r="2" spans="2:2">
      <c r="B2" s="16" t="s">
        <v>226</v>
      </c>
    </row>
    <row r="3" spans="2:2" ht="46" customHeight="1">
      <c r="B3" s="17" t="s">
        <v>227</v>
      </c>
    </row>
    <row r="5" spans="2:2">
      <c r="B5" s="18" t="s">
        <v>228</v>
      </c>
    </row>
    <row r="6" spans="2:2">
      <c r="B6" s="19" t="s">
        <v>229</v>
      </c>
    </row>
    <row r="7" spans="2:2">
      <c r="B7" s="19" t="s">
        <v>230</v>
      </c>
    </row>
    <row r="8" spans="2:2">
      <c r="B8" s="19" t="s">
        <v>231</v>
      </c>
    </row>
    <row r="9" spans="2:2">
      <c r="B9" s="19" t="s">
        <v>232</v>
      </c>
    </row>
    <row r="11" spans="2:2">
      <c r="B11" s="18" t="s">
        <v>233</v>
      </c>
    </row>
    <row r="12" spans="2:2">
      <c r="B12" s="19" t="s">
        <v>234</v>
      </c>
    </row>
    <row r="13" spans="2:2">
      <c r="B13" s="19" t="s">
        <v>235</v>
      </c>
    </row>
    <row r="15" spans="2:2">
      <c r="B15" s="18" t="s">
        <v>236</v>
      </c>
    </row>
    <row r="16" spans="2:2">
      <c r="B16" s="19" t="s">
        <v>237</v>
      </c>
    </row>
    <row r="17" spans="2:2">
      <c r="B17" s="19" t="s">
        <v>238</v>
      </c>
    </row>
    <row r="18" spans="2:2">
      <c r="B18" s="19" t="s">
        <v>239</v>
      </c>
    </row>
    <row r="20" spans="2:2">
      <c r="B20" s="18" t="s">
        <v>240</v>
      </c>
    </row>
    <row r="21" spans="2:2">
      <c r="B21" s="19" t="s">
        <v>241</v>
      </c>
    </row>
    <row r="22" spans="2:2">
      <c r="B22" s="19" t="s">
        <v>242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7E2937B6C6A849B03725A7B1A1ECE3" ma:contentTypeVersion="41" ma:contentTypeDescription="Create a new document." ma:contentTypeScope="" ma:versionID="a3ba28ee0c24ae281e1e1e07827b3941">
  <xsd:schema xmlns:xsd="http://www.w3.org/2001/XMLSchema" xmlns:xs="http://www.w3.org/2001/XMLSchema" xmlns:p="http://schemas.microsoft.com/office/2006/metadata/properties" xmlns:ns2="26cb62a4-84d0-4806-aa5a-6e5b13419f53" xmlns:ns3="b4f0fe1f-d69f-4cdb-8757-48639762622e" targetNamespace="http://schemas.microsoft.com/office/2006/metadata/properties" ma:root="true" ma:fieldsID="9f04698ed38488b3f6bee570121bdd84" ns2:_="" ns3:_="">
    <xsd:import namespace="26cb62a4-84d0-4806-aa5a-6e5b13419f53"/>
    <xsd:import namespace="b4f0fe1f-d69f-4cdb-8757-4863976262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Notes" minOccurs="0"/>
                <xsd:element ref="ns2:AE" minOccurs="0"/>
                <xsd:element ref="ns2:Invoices" minOccurs="0"/>
                <xsd:element ref="ns2:Locations" minOccurs="0"/>
                <xsd:element ref="ns2:IntakeForm" minOccurs="0"/>
                <xsd:element ref="ns2:NextSteps" minOccurs="0"/>
                <xsd:element ref="ns2:OppType" minOccurs="0"/>
                <xsd:element ref="ns2:CintasRouting" minOccurs="0"/>
                <xsd:element ref="ns2:Stage" minOccurs="0"/>
                <xsd:element ref="ns2:ContractValue" minOccurs="0"/>
                <xsd:element ref="ns2:GrowthNumber" minOccurs="0"/>
                <xsd:element ref="ns2:StartDate" minOccurs="0"/>
                <xsd:element ref="ns2:Signby" minOccurs="0"/>
                <xsd:element ref="ns2:Source" minOccurs="0"/>
                <xsd:element ref="ns2:CE" minOccurs="0"/>
                <xsd:element ref="ns2:GPO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cb62a4-84d0-4806-aa5a-6e5b13419f5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f497bb87-b13c-4429-9ec9-2cc3b1bfee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3" nillable="true" ma:displayName="Notes" ma:description="Notes" ma:format="Dropdown" ma:internalName="Notes">
      <xsd:simpleType>
        <xsd:restriction base="dms:Text">
          <xsd:maxLength value="255"/>
        </xsd:restriction>
      </xsd:simpleType>
    </xsd:element>
    <xsd:element name="AE" ma:index="24" nillable="true" ma:displayName="AE" ma:description="AE" ma:format="Dropdown" ma:internalName="AE">
      <xsd:simpleType>
        <xsd:restriction base="dms:Text">
          <xsd:maxLength value="255"/>
        </xsd:restriction>
      </xsd:simpleType>
    </xsd:element>
    <xsd:element name="Invoices" ma:index="25" nillable="true" ma:displayName="Invoices" ma:default="0" ma:description="Invoices Received" ma:format="Dropdown" ma:internalName="Invoices">
      <xsd:simpleType>
        <xsd:restriction base="dms:Boolean"/>
      </xsd:simpleType>
    </xsd:element>
    <xsd:element name="Locations" ma:index="26" nillable="true" ma:displayName="Loc List" ma:default="0" ma:description="Location List" ma:format="Dropdown" ma:internalName="Locations">
      <xsd:simpleType>
        <xsd:restriction base="dms:Boolean"/>
      </xsd:simpleType>
    </xsd:element>
    <xsd:element name="IntakeForm" ma:index="27" nillable="true" ma:displayName="Intake Form" ma:default="0" ma:description="Intake Form Completed" ma:format="Dropdown" ma:internalName="IntakeForm">
      <xsd:simpleType>
        <xsd:restriction base="dms:Boolean"/>
      </xsd:simpleType>
    </xsd:element>
    <xsd:element name="NextSteps" ma:index="28" nillable="true" ma:displayName="Next Steps" ma:format="Dropdown" ma:internalName="NextSteps">
      <xsd:simpleType>
        <xsd:restriction base="dms:Note">
          <xsd:maxLength value="255"/>
        </xsd:restriction>
      </xsd:simpleType>
    </xsd:element>
    <xsd:element name="OppType" ma:index="29" nillable="true" ma:displayName="Opp Type" ma:description="Opportunity Type" ma:format="Dropdown" ma:internalName="OppType">
      <xsd:simpleType>
        <xsd:restriction base="dms:Text">
          <xsd:maxLength value="255"/>
        </xsd:restriction>
      </xsd:simpleType>
    </xsd:element>
    <xsd:element name="CintasRouting" ma:index="30" nillable="true" ma:displayName="Cintas Routing" ma:description="Cintas Routing" ma:format="Dropdown" ma:internalName="CintasRouting">
      <xsd:simpleType>
        <xsd:restriction base="dms:Text">
          <xsd:maxLength value="255"/>
        </xsd:restriction>
      </xsd:simpleType>
    </xsd:element>
    <xsd:element name="Stage" ma:index="31" nillable="true" ma:displayName="Stage" ma:description="Stage" ma:format="Dropdown" ma:internalName="Stage">
      <xsd:simpleType>
        <xsd:restriction base="dms:Text">
          <xsd:maxLength value="255"/>
        </xsd:restriction>
      </xsd:simpleType>
    </xsd:element>
    <xsd:element name="ContractValue" ma:index="32" nillable="true" ma:displayName="Contract Value" ma:decimals="0" ma:format="$123,456.00 (United States)" ma:LCID="1033" ma:internalName="ContractValue">
      <xsd:simpleType>
        <xsd:restriction base="dms:Currency"/>
      </xsd:simpleType>
    </xsd:element>
    <xsd:element name="GrowthNumber" ma:index="33" nillable="true" ma:displayName="Growth Value" ma:decimals="0" ma:description="Portion of Contract Value that contributes to growth goal" ma:format="$123,456.00 (United States)" ma:LCID="1033" ma:internalName="GrowthNumber">
      <xsd:simpleType>
        <xsd:restriction base="dms:Currency"/>
      </xsd:simpleType>
    </xsd:element>
    <xsd:element name="StartDate" ma:index="34" nillable="true" ma:displayName="Start Date" ma:description="Start Date" ma:format="DateOnly" ma:internalName="StartDate">
      <xsd:simpleType>
        <xsd:restriction base="dms:DateTime"/>
      </xsd:simpleType>
    </xsd:element>
    <xsd:element name="Signby" ma:index="35" nillable="true" ma:displayName="Sign by" ma:format="DateOnly" ma:internalName="Signby">
      <xsd:simpleType>
        <xsd:restriction base="dms:DateTime"/>
      </xsd:simpleType>
    </xsd:element>
    <xsd:element name="Source" ma:index="36" nillable="true" ma:displayName="Source" ma:description="Source" ma:format="Dropdown" ma:internalName="Source">
      <xsd:simpleType>
        <xsd:restriction base="dms:Text">
          <xsd:maxLength value="255"/>
        </xsd:restriction>
      </xsd:simpleType>
    </xsd:element>
    <xsd:element name="CE" ma:index="37" nillable="true" ma:displayName="CE" ma:description="CE" ma:format="Dropdown" ma:internalName="CE">
      <xsd:simpleType>
        <xsd:restriction base="dms:Text">
          <xsd:maxLength value="255"/>
        </xsd:restriction>
      </xsd:simpleType>
    </xsd:element>
    <xsd:element name="GPOID" ma:index="38" nillable="true" ma:displayName="GPOID" ma:description="GPOID" ma:format="Dropdown" ma:internalName="GPOI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f0fe1f-d69f-4cdb-8757-48639762622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rowthNumber xmlns="26cb62a4-84d0-4806-aa5a-6e5b13419f53" xsi:nil="true"/>
    <GPOID xmlns="26cb62a4-84d0-4806-aa5a-6e5b13419f53" xsi:nil="true"/>
    <IntakeForm xmlns="26cb62a4-84d0-4806-aa5a-6e5b13419f53">false</IntakeForm>
    <OppType xmlns="26cb62a4-84d0-4806-aa5a-6e5b13419f53" xsi:nil="true"/>
    <ContractValue xmlns="26cb62a4-84d0-4806-aa5a-6e5b13419f53" xsi:nil="true"/>
    <AE xmlns="26cb62a4-84d0-4806-aa5a-6e5b13419f53" xsi:nil="true"/>
    <StartDate xmlns="26cb62a4-84d0-4806-aa5a-6e5b13419f53" xsi:nil="true"/>
    <lcf76f155ced4ddcb4097134ff3c332f xmlns="26cb62a4-84d0-4806-aa5a-6e5b13419f53">
      <Terms xmlns="http://schemas.microsoft.com/office/infopath/2007/PartnerControls"/>
    </lcf76f155ced4ddcb4097134ff3c332f>
    <CE xmlns="26cb62a4-84d0-4806-aa5a-6e5b13419f53" xsi:nil="true"/>
    <Source xmlns="26cb62a4-84d0-4806-aa5a-6e5b13419f53" xsi:nil="true"/>
    <Signby xmlns="26cb62a4-84d0-4806-aa5a-6e5b13419f53" xsi:nil="true"/>
    <Locations xmlns="26cb62a4-84d0-4806-aa5a-6e5b13419f53">false</Locations>
    <Stage xmlns="26cb62a4-84d0-4806-aa5a-6e5b13419f53" xsi:nil="true"/>
    <Notes xmlns="26cb62a4-84d0-4806-aa5a-6e5b13419f53" xsi:nil="true"/>
    <CintasRouting xmlns="26cb62a4-84d0-4806-aa5a-6e5b13419f53" xsi:nil="true"/>
    <Invoices xmlns="26cb62a4-84d0-4806-aa5a-6e5b13419f53">false</Invoices>
    <NextSteps xmlns="26cb62a4-84d0-4806-aa5a-6e5b13419f53" xsi:nil="true"/>
  </documentManagement>
</p:properties>
</file>

<file path=customXml/itemProps1.xml><?xml version="1.0" encoding="utf-8"?>
<ds:datastoreItem xmlns:ds="http://schemas.openxmlformats.org/officeDocument/2006/customXml" ds:itemID="{CE9261A5-CCE8-45A5-8B6F-163AC68154DC}"/>
</file>

<file path=customXml/itemProps2.xml><?xml version="1.0" encoding="utf-8"?>
<ds:datastoreItem xmlns:ds="http://schemas.openxmlformats.org/officeDocument/2006/customXml" ds:itemID="{4BA6A34E-308B-4522-B514-E8F6E466609B}"/>
</file>

<file path=customXml/itemProps3.xml><?xml version="1.0" encoding="utf-8"?>
<ds:datastoreItem xmlns:ds="http://schemas.openxmlformats.org/officeDocument/2006/customXml" ds:itemID="{833B3E5D-D125-495D-96E9-CDB9D44274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MEMBERS</vt:lpstr>
      <vt:lpstr>TOUCHPOINTS</vt:lpstr>
      <vt:lpstr>CADENCE</vt:lpstr>
      <vt:lpstr>READ 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2026-09-01T16:07:26Z</dcterms:created>
  <dcterms:modified xsi:type="dcterms:W3CDTF">2026-09-01T16:07:26Z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0x0101001D7E2937B6C6A849B03725A7B1A1ECE3</vt:lpwstr>
  </property>
</Properties>
</file>